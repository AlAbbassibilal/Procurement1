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39791aa7b2a4add3/Abbassi/RHS/QC/"/>
    </mc:Choice>
  </mc:AlternateContent>
  <xr:revisionPtr revIDLastSave="637" documentId="8_{505C244D-0CF9-47AC-96DB-4A669173B3A5}" xr6:coauthVersionLast="47" xr6:coauthVersionMax="47" xr10:uidLastSave="{C08387B1-346E-43CB-A51F-39C7428A25CE}"/>
  <bookViews>
    <workbookView xWindow="-120" yWindow="-120" windowWidth="29040" windowHeight="15720" tabRatio="597" activeTab="1" xr2:uid="{54593240-9770-4E06-B281-A7C176251EC0}"/>
  </bookViews>
  <sheets>
    <sheet name="Project Budget" sheetId="1" r:id="rId1"/>
    <sheet name="Sheet1" sheetId="2" r:id="rId2"/>
    <sheet name="Expense Allocation"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3" l="1"/>
  <c r="L51" i="2"/>
  <c r="J51" i="2" s="1"/>
  <c r="L52" i="2"/>
  <c r="J52" i="2" s="1"/>
  <c r="L53" i="2"/>
  <c r="J53" i="2" s="1"/>
  <c r="L54" i="2"/>
  <c r="J54" i="2" s="1"/>
  <c r="J56" i="2" s="1"/>
  <c r="L56" i="2"/>
  <c r="L57" i="2"/>
  <c r="L50" i="2"/>
  <c r="N47" i="2"/>
  <c r="L47" i="2"/>
  <c r="K47" i="2"/>
  <c r="J47" i="2"/>
  <c r="S45" i="2"/>
  <c r="T45" i="2"/>
  <c r="U45" i="2"/>
  <c r="O45" i="2"/>
  <c r="P45" i="2"/>
  <c r="Q45" i="2"/>
  <c r="N45" i="2"/>
  <c r="M45" i="2"/>
  <c r="L45" i="2"/>
  <c r="K45" i="2"/>
  <c r="J45" i="2"/>
  <c r="S44" i="2"/>
  <c r="T44" i="2"/>
  <c r="U44" i="2"/>
  <c r="J44" i="2"/>
  <c r="K44" i="2"/>
  <c r="L44" i="2"/>
  <c r="M44" i="2"/>
  <c r="N44" i="2"/>
  <c r="O44" i="2" s="1"/>
  <c r="P44" i="2"/>
  <c r="Q44" i="2"/>
  <c r="S43" i="2"/>
  <c r="T43" i="2"/>
  <c r="U43" i="2"/>
  <c r="J43" i="2"/>
  <c r="K43" i="2"/>
  <c r="L43" i="2"/>
  <c r="M43" i="2"/>
  <c r="N43" i="2"/>
  <c r="O43" i="2" s="1"/>
  <c r="P43" i="2"/>
  <c r="Q43" i="2"/>
  <c r="S42" i="2"/>
  <c r="T42" i="2" s="1"/>
  <c r="U42" i="2"/>
  <c r="J42" i="2"/>
  <c r="K42" i="2"/>
  <c r="L42" i="2"/>
  <c r="M42" i="2"/>
  <c r="N42" i="2"/>
  <c r="O42" i="2" s="1"/>
  <c r="P42" i="2"/>
  <c r="Q42" i="2"/>
  <c r="S41" i="2"/>
  <c r="T41" i="2" s="1"/>
  <c r="U41" i="2"/>
  <c r="J41" i="2"/>
  <c r="K41" i="2" s="1"/>
  <c r="N41" i="2"/>
  <c r="Q41" i="2"/>
  <c r="S40" i="2"/>
  <c r="T40" i="2" s="1"/>
  <c r="U40" i="2"/>
  <c r="J40" i="2"/>
  <c r="L40" i="2" s="1"/>
  <c r="M40" i="2" s="1"/>
  <c r="N40" i="2"/>
  <c r="Q40" i="2"/>
  <c r="N24" i="2"/>
  <c r="N18" i="2"/>
  <c r="N26" i="2"/>
  <c r="N27" i="2"/>
  <c r="N28" i="2"/>
  <c r="N29" i="2"/>
  <c r="N30" i="2"/>
  <c r="N31" i="2"/>
  <c r="N32" i="2"/>
  <c r="N33" i="2"/>
  <c r="N34" i="2"/>
  <c r="N35" i="2"/>
  <c r="N36" i="2"/>
  <c r="N37" i="2"/>
  <c r="N38" i="2"/>
  <c r="E3" i="3"/>
  <c r="E6" i="3"/>
  <c r="J133" i="3"/>
  <c r="K133" i="3"/>
  <c r="J134" i="3"/>
  <c r="K134" i="3"/>
  <c r="J135" i="3"/>
  <c r="K135" i="3"/>
  <c r="J136" i="3"/>
  <c r="K136" i="3"/>
  <c r="J137" i="3"/>
  <c r="K137" i="3"/>
  <c r="J138" i="3"/>
  <c r="K138" i="3"/>
  <c r="J139" i="3"/>
  <c r="K139" i="3"/>
  <c r="J140" i="3"/>
  <c r="K140" i="3"/>
  <c r="J141" i="3"/>
  <c r="K141" i="3"/>
  <c r="J142" i="3"/>
  <c r="K142" i="3"/>
  <c r="J143" i="3"/>
  <c r="K143" i="3"/>
  <c r="J144" i="3"/>
  <c r="K144" i="3"/>
  <c r="J145" i="3"/>
  <c r="K145" i="3"/>
  <c r="J146" i="3"/>
  <c r="K146" i="3"/>
  <c r="J147" i="3"/>
  <c r="K147" i="3"/>
  <c r="J148" i="3"/>
  <c r="K148" i="3"/>
  <c r="J149" i="3"/>
  <c r="K149" i="3"/>
  <c r="J150" i="3"/>
  <c r="K150" i="3"/>
  <c r="J151" i="3"/>
  <c r="K151" i="3"/>
  <c r="J152" i="3"/>
  <c r="K152" i="3"/>
  <c r="J153" i="3"/>
  <c r="K153" i="3"/>
  <c r="J154" i="3"/>
  <c r="K154" i="3"/>
  <c r="J155" i="3"/>
  <c r="K155" i="3"/>
  <c r="J156" i="3"/>
  <c r="K156" i="3"/>
  <c r="J157" i="3"/>
  <c r="K157" i="3"/>
  <c r="J8" i="3"/>
  <c r="K8" i="3"/>
  <c r="J9" i="3"/>
  <c r="K9" i="3"/>
  <c r="J10" i="3"/>
  <c r="K10" i="3"/>
  <c r="J11" i="3"/>
  <c r="K11" i="3"/>
  <c r="J12" i="3"/>
  <c r="K12" i="3"/>
  <c r="J13" i="3"/>
  <c r="K13" i="3"/>
  <c r="J14" i="3"/>
  <c r="K14" i="3"/>
  <c r="J15" i="3"/>
  <c r="K15" i="3"/>
  <c r="J16" i="3"/>
  <c r="K16" i="3"/>
  <c r="J17" i="3"/>
  <c r="K17" i="3"/>
  <c r="J18" i="3"/>
  <c r="K18" i="3"/>
  <c r="J19" i="3"/>
  <c r="K19" i="3"/>
  <c r="J20" i="3"/>
  <c r="K20" i="3"/>
  <c r="J21" i="3"/>
  <c r="K21" i="3"/>
  <c r="J22" i="3"/>
  <c r="K22" i="3"/>
  <c r="J23" i="3"/>
  <c r="K23" i="3"/>
  <c r="J24" i="3"/>
  <c r="K24" i="3"/>
  <c r="J25" i="3"/>
  <c r="K25" i="3"/>
  <c r="J26" i="3"/>
  <c r="K26" i="3"/>
  <c r="J27" i="3"/>
  <c r="K27" i="3"/>
  <c r="J28" i="3"/>
  <c r="K28" i="3"/>
  <c r="J29" i="3"/>
  <c r="K29" i="3"/>
  <c r="J30" i="3"/>
  <c r="K30" i="3"/>
  <c r="J31" i="3"/>
  <c r="K31" i="3"/>
  <c r="J32" i="3"/>
  <c r="K32" i="3"/>
  <c r="J33" i="3"/>
  <c r="K33" i="3"/>
  <c r="J34" i="3"/>
  <c r="K34" i="3"/>
  <c r="J35" i="3"/>
  <c r="K35" i="3"/>
  <c r="J36" i="3"/>
  <c r="K36" i="3"/>
  <c r="J37" i="3"/>
  <c r="K37" i="3"/>
  <c r="J38" i="3"/>
  <c r="K38" i="3"/>
  <c r="J39" i="3"/>
  <c r="K39" i="3"/>
  <c r="J40" i="3"/>
  <c r="K40" i="3"/>
  <c r="J41" i="3"/>
  <c r="K41" i="3"/>
  <c r="J42" i="3"/>
  <c r="K42" i="3"/>
  <c r="J43" i="3"/>
  <c r="K43" i="3"/>
  <c r="J44" i="3"/>
  <c r="K44" i="3"/>
  <c r="J45" i="3"/>
  <c r="K45" i="3"/>
  <c r="J46" i="3"/>
  <c r="K46" i="3"/>
  <c r="J47" i="3"/>
  <c r="K47" i="3"/>
  <c r="J48" i="3"/>
  <c r="K48" i="3"/>
  <c r="J49" i="3"/>
  <c r="K49" i="3"/>
  <c r="J50" i="3"/>
  <c r="K50" i="3"/>
  <c r="J51" i="3"/>
  <c r="K51" i="3"/>
  <c r="J52" i="3"/>
  <c r="K52" i="3"/>
  <c r="J53" i="3"/>
  <c r="K53" i="3"/>
  <c r="J54" i="3"/>
  <c r="K54" i="3"/>
  <c r="J55" i="3"/>
  <c r="K55" i="3"/>
  <c r="J56" i="3"/>
  <c r="K56" i="3"/>
  <c r="J57" i="3"/>
  <c r="K57" i="3"/>
  <c r="J58" i="3"/>
  <c r="K58" i="3"/>
  <c r="J59" i="3"/>
  <c r="K59" i="3"/>
  <c r="J60" i="3"/>
  <c r="K60" i="3"/>
  <c r="J61" i="3"/>
  <c r="K61" i="3"/>
  <c r="J62" i="3"/>
  <c r="K62" i="3"/>
  <c r="J63" i="3"/>
  <c r="K63" i="3"/>
  <c r="J64" i="3"/>
  <c r="K64" i="3"/>
  <c r="J65" i="3"/>
  <c r="K65" i="3"/>
  <c r="J66" i="3"/>
  <c r="K66" i="3"/>
  <c r="J67" i="3"/>
  <c r="K67" i="3"/>
  <c r="J68" i="3"/>
  <c r="K68" i="3"/>
  <c r="J69" i="3"/>
  <c r="K69" i="3"/>
  <c r="J70" i="3"/>
  <c r="K70" i="3"/>
  <c r="J71" i="3"/>
  <c r="K71" i="3"/>
  <c r="J72" i="3"/>
  <c r="K72" i="3"/>
  <c r="J73" i="3"/>
  <c r="K73" i="3"/>
  <c r="J74" i="3"/>
  <c r="K74" i="3"/>
  <c r="J75" i="3"/>
  <c r="K75" i="3"/>
  <c r="J76" i="3"/>
  <c r="K76" i="3"/>
  <c r="J77" i="3"/>
  <c r="K77" i="3"/>
  <c r="J78" i="3"/>
  <c r="K78" i="3"/>
  <c r="J79" i="3"/>
  <c r="K79" i="3"/>
  <c r="J80" i="3"/>
  <c r="K80" i="3"/>
  <c r="J81" i="3"/>
  <c r="K81" i="3"/>
  <c r="J82" i="3"/>
  <c r="K82" i="3"/>
  <c r="J83" i="3"/>
  <c r="K83" i="3"/>
  <c r="J84" i="3"/>
  <c r="K84" i="3"/>
  <c r="J85" i="3"/>
  <c r="K85" i="3"/>
  <c r="J86" i="3"/>
  <c r="K86" i="3"/>
  <c r="J87" i="3"/>
  <c r="K87" i="3"/>
  <c r="J88" i="3"/>
  <c r="K88" i="3"/>
  <c r="J89" i="3"/>
  <c r="K89" i="3"/>
  <c r="J90" i="3"/>
  <c r="K90" i="3"/>
  <c r="J91" i="3"/>
  <c r="K91" i="3"/>
  <c r="J92" i="3"/>
  <c r="K92" i="3"/>
  <c r="J93" i="3"/>
  <c r="K93" i="3"/>
  <c r="J94" i="3"/>
  <c r="K94" i="3"/>
  <c r="J95" i="3"/>
  <c r="K95" i="3"/>
  <c r="J96" i="3"/>
  <c r="K96" i="3"/>
  <c r="J97" i="3"/>
  <c r="K97" i="3"/>
  <c r="J98" i="3"/>
  <c r="K98" i="3"/>
  <c r="J99" i="3"/>
  <c r="K99" i="3"/>
  <c r="J100" i="3"/>
  <c r="K100" i="3"/>
  <c r="J101" i="3"/>
  <c r="K101" i="3"/>
  <c r="J102" i="3"/>
  <c r="K102" i="3"/>
  <c r="J103" i="3"/>
  <c r="K103" i="3"/>
  <c r="J104" i="3"/>
  <c r="K104" i="3"/>
  <c r="J105" i="3"/>
  <c r="K105" i="3"/>
  <c r="J106" i="3"/>
  <c r="K106" i="3"/>
  <c r="J107" i="3"/>
  <c r="K107" i="3"/>
  <c r="J108" i="3"/>
  <c r="K108" i="3"/>
  <c r="J109" i="3"/>
  <c r="K109" i="3"/>
  <c r="J110" i="3"/>
  <c r="K110" i="3"/>
  <c r="J111" i="3"/>
  <c r="K111" i="3"/>
  <c r="J112" i="3"/>
  <c r="K112" i="3"/>
  <c r="J113" i="3"/>
  <c r="K113" i="3"/>
  <c r="J114" i="3"/>
  <c r="K114" i="3"/>
  <c r="J115" i="3"/>
  <c r="K115" i="3"/>
  <c r="J116" i="3"/>
  <c r="K116" i="3"/>
  <c r="J117" i="3"/>
  <c r="K117" i="3"/>
  <c r="J118" i="3"/>
  <c r="K118" i="3"/>
  <c r="J119" i="3"/>
  <c r="K119" i="3"/>
  <c r="J120" i="3"/>
  <c r="K120" i="3"/>
  <c r="J121" i="3"/>
  <c r="K121" i="3"/>
  <c r="J122" i="3"/>
  <c r="K122" i="3"/>
  <c r="J123" i="3"/>
  <c r="K123" i="3"/>
  <c r="J124" i="3"/>
  <c r="K124" i="3"/>
  <c r="J125" i="3"/>
  <c r="K125" i="3"/>
  <c r="J126" i="3"/>
  <c r="K126" i="3"/>
  <c r="J127" i="3"/>
  <c r="K127" i="3"/>
  <c r="J128" i="3"/>
  <c r="K128" i="3"/>
  <c r="J129" i="3"/>
  <c r="K129" i="3"/>
  <c r="J130" i="3"/>
  <c r="K130" i="3"/>
  <c r="J131" i="3"/>
  <c r="K131" i="3"/>
  <c r="J132" i="3"/>
  <c r="K132" i="3"/>
  <c r="M28" i="2"/>
  <c r="M29" i="2"/>
  <c r="M31" i="2"/>
  <c r="M32" i="2"/>
  <c r="M36" i="2"/>
  <c r="M38" i="2"/>
  <c r="Q47" i="2"/>
  <c r="Q46" i="2"/>
  <c r="Q38" i="2"/>
  <c r="Q37" i="2"/>
  <c r="Q36" i="2"/>
  <c r="Q35" i="2"/>
  <c r="Q34" i="2"/>
  <c r="Q33" i="2"/>
  <c r="Q32" i="2"/>
  <c r="Q31" i="2"/>
  <c r="Q30" i="2"/>
  <c r="Q29" i="2"/>
  <c r="Q28" i="2"/>
  <c r="Q27" i="2"/>
  <c r="Q26" i="2"/>
  <c r="Q25" i="2"/>
  <c r="S25" i="2" s="1"/>
  <c r="M25" i="2"/>
  <c r="Q24" i="2"/>
  <c r="S24" i="2" s="1"/>
  <c r="M24" i="2"/>
  <c r="P24" i="2" s="1"/>
  <c r="Q23" i="2"/>
  <c r="S23" i="2" s="1"/>
  <c r="M23" i="2"/>
  <c r="T23" i="2" s="1"/>
  <c r="Q22" i="2"/>
  <c r="S22" i="2" s="1"/>
  <c r="M22" i="2"/>
  <c r="P22" i="2" s="1"/>
  <c r="Q21" i="2"/>
  <c r="S21" i="2" s="1"/>
  <c r="M21" i="2"/>
  <c r="Q20" i="2"/>
  <c r="S20" i="2" s="1"/>
  <c r="M20" i="2"/>
  <c r="P20" i="2" s="1"/>
  <c r="Q19" i="2"/>
  <c r="S19" i="2" s="1"/>
  <c r="M19" i="2"/>
  <c r="P19" i="2" s="1"/>
  <c r="Q18" i="2"/>
  <c r="S18" i="2" s="1"/>
  <c r="M18" i="2"/>
  <c r="Q17" i="2"/>
  <c r="S17" i="2" s="1"/>
  <c r="M17" i="2"/>
  <c r="O17" i="2" s="1"/>
  <c r="Q16" i="2"/>
  <c r="S16" i="2" s="1"/>
  <c r="M16" i="2"/>
  <c r="T16" i="2" s="1"/>
  <c r="S15" i="2"/>
  <c r="Q15" i="2"/>
  <c r="M15" i="2"/>
  <c r="P15" i="2" s="1"/>
  <c r="Q14" i="2"/>
  <c r="S14" i="2" s="1"/>
  <c r="M14" i="2"/>
  <c r="P14" i="2" s="1"/>
  <c r="Q13" i="2"/>
  <c r="S13" i="2" s="1"/>
  <c r="M13" i="2"/>
  <c r="Q12" i="2"/>
  <c r="S12" i="2" s="1"/>
  <c r="M12" i="2"/>
  <c r="O12" i="2" s="1"/>
  <c r="Q11" i="2"/>
  <c r="S11" i="2" s="1"/>
  <c r="M11" i="2"/>
  <c r="Q10" i="2"/>
  <c r="S10" i="2" s="1"/>
  <c r="M10" i="2"/>
  <c r="P10" i="2" s="1"/>
  <c r="Q9" i="2"/>
  <c r="S9" i="2" s="1"/>
  <c r="M9" i="2"/>
  <c r="Q8" i="2"/>
  <c r="S8" i="2" s="1"/>
  <c r="M8" i="2"/>
  <c r="P8" i="2" s="1"/>
  <c r="Q7" i="2"/>
  <c r="S7" i="2" s="1"/>
  <c r="M7" i="2"/>
  <c r="P7" i="2" s="1"/>
  <c r="Q6" i="2"/>
  <c r="S6" i="2" s="1"/>
  <c r="M6" i="2"/>
  <c r="L38" i="2"/>
  <c r="K38" i="2"/>
  <c r="J37" i="2"/>
  <c r="L37" i="2" s="1"/>
  <c r="M37" i="2" s="1"/>
  <c r="J36" i="2"/>
  <c r="L36" i="2" s="1"/>
  <c r="J35" i="2"/>
  <c r="L35" i="2" s="1"/>
  <c r="M35" i="2" s="1"/>
  <c r="J34" i="2"/>
  <c r="L34" i="2" s="1"/>
  <c r="M34" i="2" s="1"/>
  <c r="J33" i="2"/>
  <c r="L33" i="2" s="1"/>
  <c r="M33" i="2" s="1"/>
  <c r="J32" i="2"/>
  <c r="L32" i="2" s="1"/>
  <c r="J31" i="2"/>
  <c r="L31" i="2" s="1"/>
  <c r="J30" i="2"/>
  <c r="L30" i="2" s="1"/>
  <c r="M30" i="2" s="1"/>
  <c r="J29" i="2"/>
  <c r="L29" i="2" s="1"/>
  <c r="J28" i="2"/>
  <c r="L28" i="2" s="1"/>
  <c r="J27" i="2"/>
  <c r="L27" i="2" s="1"/>
  <c r="M27" i="2" s="1"/>
  <c r="H26" i="2"/>
  <c r="J26" i="2" s="1"/>
  <c r="L23" i="2"/>
  <c r="J23" i="2"/>
  <c r="K23" i="2" s="1"/>
  <c r="J22" i="2"/>
  <c r="L22" i="2" s="1"/>
  <c r="J21" i="2"/>
  <c r="L21" i="2" s="1"/>
  <c r="J20" i="2"/>
  <c r="L20" i="2" s="1"/>
  <c r="J17" i="2"/>
  <c r="L17" i="2" s="1"/>
  <c r="J16" i="2"/>
  <c r="L16" i="2" s="1"/>
  <c r="J15" i="2"/>
  <c r="L15" i="2" s="1"/>
  <c r="L14" i="2"/>
  <c r="J14" i="2"/>
  <c r="K14" i="2" s="1"/>
  <c r="J13" i="2"/>
  <c r="L13" i="2" s="1"/>
  <c r="J12" i="2"/>
  <c r="L12" i="2" s="1"/>
  <c r="J11" i="2"/>
  <c r="K11" i="2" s="1"/>
  <c r="J10" i="2"/>
  <c r="L10" i="2" s="1"/>
  <c r="J9" i="2"/>
  <c r="L9" i="2" s="1"/>
  <c r="J8" i="2"/>
  <c r="L8" i="2" s="1"/>
  <c r="J7" i="2"/>
  <c r="L7" i="2" s="1"/>
  <c r="J6" i="2"/>
  <c r="J37" i="1"/>
  <c r="K37" i="1" s="1"/>
  <c r="L37" i="1"/>
  <c r="J36" i="1"/>
  <c r="K36" i="1" s="1"/>
  <c r="L36" i="1"/>
  <c r="J35" i="1"/>
  <c r="K35" i="1"/>
  <c r="L35" i="1"/>
  <c r="J29" i="1"/>
  <c r="K29" i="1"/>
  <c r="L29" i="1"/>
  <c r="J30" i="1"/>
  <c r="L30" i="1" s="1"/>
  <c r="J31" i="1"/>
  <c r="K31" i="1" s="1"/>
  <c r="J32" i="1"/>
  <c r="L32" i="1" s="1"/>
  <c r="J33" i="1"/>
  <c r="K33" i="1" s="1"/>
  <c r="J34" i="1"/>
  <c r="L34" i="1" s="1"/>
  <c r="L55" i="2" l="1"/>
  <c r="J55" i="2" s="1"/>
  <c r="L41" i="2"/>
  <c r="M41" i="2" s="1"/>
  <c r="P40" i="2"/>
  <c r="O40" i="2"/>
  <c r="K40" i="2"/>
  <c r="P34" i="2"/>
  <c r="P32" i="2"/>
  <c r="U14" i="2"/>
  <c r="P27" i="2"/>
  <c r="L24" i="2"/>
  <c r="P36" i="2"/>
  <c r="S28" i="2"/>
  <c r="U28" i="2" s="1"/>
  <c r="S31" i="2"/>
  <c r="T31" i="2" s="1"/>
  <c r="E4" i="3"/>
  <c r="S27" i="2"/>
  <c r="U27" i="2" s="1"/>
  <c r="N46" i="2"/>
  <c r="S47" i="2" s="1"/>
  <c r="S29" i="2"/>
  <c r="U29" i="2" s="1"/>
  <c r="O29" i="2"/>
  <c r="S26" i="2"/>
  <c r="S34" i="2"/>
  <c r="T34" i="2" s="1"/>
  <c r="S37" i="2"/>
  <c r="T37" i="2" s="1"/>
  <c r="S36" i="2"/>
  <c r="T36" i="2" s="1"/>
  <c r="S33" i="2"/>
  <c r="T33" i="2" s="1"/>
  <c r="S38" i="2"/>
  <c r="U38" i="2" s="1"/>
  <c r="S30" i="2"/>
  <c r="U30" i="2" s="1"/>
  <c r="S32" i="2"/>
  <c r="U32" i="2" s="1"/>
  <c r="S35" i="2"/>
  <c r="T35" i="2" s="1"/>
  <c r="O36" i="2"/>
  <c r="U9" i="2"/>
  <c r="U15" i="2"/>
  <c r="O24" i="2"/>
  <c r="U19" i="2"/>
  <c r="U20" i="2"/>
  <c r="U25" i="2"/>
  <c r="P17" i="2"/>
  <c r="U13" i="2"/>
  <c r="P12" i="2"/>
  <c r="U8" i="2"/>
  <c r="U21" i="2"/>
  <c r="P29" i="2"/>
  <c r="T11" i="2"/>
  <c r="U17" i="2"/>
  <c r="T17" i="2"/>
  <c r="U10" i="2"/>
  <c r="T10" i="2"/>
  <c r="U24" i="2"/>
  <c r="T24" i="2"/>
  <c r="U7" i="2"/>
  <c r="T7" i="2"/>
  <c r="U12" i="2"/>
  <c r="T12" i="2"/>
  <c r="U22" i="2"/>
  <c r="T22" i="2"/>
  <c r="T14" i="2"/>
  <c r="T19" i="2"/>
  <c r="P35" i="2"/>
  <c r="O35" i="2"/>
  <c r="O38" i="2"/>
  <c r="T25" i="2"/>
  <c r="P25" i="2"/>
  <c r="O25" i="2"/>
  <c r="P30" i="2"/>
  <c r="O30" i="2"/>
  <c r="P38" i="2"/>
  <c r="T13" i="2"/>
  <c r="P13" i="2"/>
  <c r="O13" i="2"/>
  <c r="T15" i="2"/>
  <c r="T18" i="2"/>
  <c r="P18" i="2"/>
  <c r="T20" i="2"/>
  <c r="O33" i="2"/>
  <c r="T6" i="2"/>
  <c r="P6" i="2"/>
  <c r="T8" i="2"/>
  <c r="O18" i="2"/>
  <c r="O23" i="2"/>
  <c r="P33" i="2"/>
  <c r="O6" i="2"/>
  <c r="O11" i="2"/>
  <c r="U18" i="2"/>
  <c r="T21" i="2"/>
  <c r="P23" i="2"/>
  <c r="O28" i="2"/>
  <c r="O31" i="2"/>
  <c r="U6" i="2"/>
  <c r="T9" i="2"/>
  <c r="P11" i="2"/>
  <c r="O16" i="2"/>
  <c r="O21" i="2"/>
  <c r="U23" i="2"/>
  <c r="P28" i="2"/>
  <c r="P31" i="2"/>
  <c r="O9" i="2"/>
  <c r="U11" i="2"/>
  <c r="O14" i="2"/>
  <c r="P16" i="2"/>
  <c r="O19" i="2"/>
  <c r="P21" i="2"/>
  <c r="O7" i="2"/>
  <c r="P9" i="2"/>
  <c r="U16" i="2"/>
  <c r="O37" i="2"/>
  <c r="O8" i="2"/>
  <c r="O20" i="2"/>
  <c r="O32" i="2"/>
  <c r="P37" i="2"/>
  <c r="O15" i="2"/>
  <c r="O27" i="2"/>
  <c r="O10" i="2"/>
  <c r="O22" i="2"/>
  <c r="O34" i="2"/>
  <c r="K10" i="2"/>
  <c r="L11" i="2"/>
  <c r="J18" i="2"/>
  <c r="K6" i="2"/>
  <c r="L6" i="2"/>
  <c r="J46" i="2"/>
  <c r="L26" i="2"/>
  <c r="K26" i="2"/>
  <c r="L18" i="2"/>
  <c r="K18" i="2"/>
  <c r="K28" i="2"/>
  <c r="K32" i="2"/>
  <c r="K36" i="2"/>
  <c r="J24" i="2"/>
  <c r="K7" i="2"/>
  <c r="K15" i="2"/>
  <c r="K20" i="2"/>
  <c r="K29" i="2"/>
  <c r="K33" i="2"/>
  <c r="K37" i="2"/>
  <c r="K8" i="2"/>
  <c r="K12" i="2"/>
  <c r="K16" i="2"/>
  <c r="K21" i="2"/>
  <c r="K30" i="2"/>
  <c r="K34" i="2"/>
  <c r="K9" i="2"/>
  <c r="K13" i="2"/>
  <c r="K17" i="2"/>
  <c r="K22" i="2"/>
  <c r="K27" i="2"/>
  <c r="K31" i="2"/>
  <c r="K35" i="2"/>
  <c r="L31" i="1"/>
  <c r="K30" i="1"/>
  <c r="K34" i="1"/>
  <c r="L33" i="1"/>
  <c r="K32" i="1"/>
  <c r="H26" i="1"/>
  <c r="J27" i="1"/>
  <c r="K27" i="1" s="1"/>
  <c r="J23" i="1"/>
  <c r="L23" i="1" s="1"/>
  <c r="O41" i="2" l="1"/>
  <c r="P41" i="2"/>
  <c r="L46" i="2"/>
  <c r="M46" i="2" s="1"/>
  <c r="M26" i="2"/>
  <c r="U26" i="2"/>
  <c r="T28" i="2"/>
  <c r="T38" i="2"/>
  <c r="U31" i="2"/>
  <c r="U35" i="2"/>
  <c r="U36" i="2"/>
  <c r="U37" i="2"/>
  <c r="O46" i="2"/>
  <c r="U33" i="2"/>
  <c r="T32" i="2"/>
  <c r="T30" i="2"/>
  <c r="T26" i="2"/>
  <c r="T27" i="2"/>
  <c r="T29" i="2"/>
  <c r="P46" i="2"/>
  <c r="S46" i="2"/>
  <c r="T46" i="2" s="1"/>
  <c r="U34" i="2"/>
  <c r="K24" i="2"/>
  <c r="K46" i="2"/>
  <c r="L27" i="1"/>
  <c r="K23" i="1"/>
  <c r="P26" i="2" l="1"/>
  <c r="O26" i="2"/>
  <c r="J3" i="2"/>
  <c r="M47" i="2"/>
  <c r="U46" i="2"/>
  <c r="K38" i="1"/>
  <c r="J26" i="1"/>
  <c r="J21" i="1"/>
  <c r="J22" i="1"/>
  <c r="L22" i="1" s="1"/>
  <c r="J20" i="1"/>
  <c r="L20" i="1" s="1"/>
  <c r="J28" i="1"/>
  <c r="K28" i="1" s="1"/>
  <c r="U47" i="2" l="1"/>
  <c r="O47" i="2"/>
  <c r="P47" i="2"/>
  <c r="T47" i="2"/>
  <c r="K21" i="1"/>
  <c r="J24" i="1"/>
  <c r="K22" i="1"/>
  <c r="L38" i="1"/>
  <c r="J39" i="1"/>
  <c r="L26" i="1"/>
  <c r="K26" i="1"/>
  <c r="K39" i="1" s="1"/>
  <c r="L21" i="1"/>
  <c r="L24" i="1" s="1"/>
  <c r="K20" i="1"/>
  <c r="L28" i="1"/>
  <c r="J7" i="1"/>
  <c r="L7" i="1" s="1"/>
  <c r="J8" i="1"/>
  <c r="L8" i="1" s="1"/>
  <c r="J9" i="1"/>
  <c r="L9" i="1" s="1"/>
  <c r="J10" i="1"/>
  <c r="L10" i="1" s="1"/>
  <c r="J11" i="1"/>
  <c r="L11" i="1" s="1"/>
  <c r="J12" i="1"/>
  <c r="L12" i="1" s="1"/>
  <c r="J13" i="1"/>
  <c r="K13" i="1" s="1"/>
  <c r="J14" i="1"/>
  <c r="K14" i="1" s="1"/>
  <c r="J15" i="1"/>
  <c r="K15" i="1" s="1"/>
  <c r="J16" i="1"/>
  <c r="K16" i="1" s="1"/>
  <c r="J17" i="1"/>
  <c r="K17" i="1" s="1"/>
  <c r="J6" i="1"/>
  <c r="K24" i="1" l="1"/>
  <c r="L39" i="1"/>
  <c r="L17" i="1"/>
  <c r="J18" i="1"/>
  <c r="L15" i="1"/>
  <c r="L14" i="1"/>
  <c r="L13" i="1"/>
  <c r="K8" i="1"/>
  <c r="L6" i="1"/>
  <c r="L16" i="1"/>
  <c r="K12" i="1"/>
  <c r="K9" i="1"/>
  <c r="K7" i="1"/>
  <c r="K6" i="1"/>
  <c r="K11" i="1"/>
  <c r="K10" i="1"/>
  <c r="K18" i="1" l="1"/>
  <c r="K40" i="1" s="1"/>
  <c r="J40" i="1"/>
  <c r="L18" i="1"/>
  <c r="L40" i="1" s="1"/>
  <c r="J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tc={54E87964-B968-4A02-AC71-30D70AD6DD49}</author>
  </authors>
  <commentList>
    <comment ref="J50" authorId="0" shapeId="0" xr:uid="{54E87964-B968-4A02-AC71-30D70AD6DD49}">
      <text>
        <t>[Threaded comment]
Your version of Excel allows you to read this threaded comment; however, any edits to it will get removed if the file is opened in a newer version of Excel. Learn more: https://go.microsoft.com/fwlink/?linkid=870924
Comment:
    Source: Restricted Donations Income - Qatar Charity.xlsx (GL 400002, MISC/2025/09/0001, 2025-09-16), uploaded 2026-09-24.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tc={AF602721-CC5A-4D74-B615-83E561AE5D94}</author>
  </authors>
  <commentList>
    <comment ref="A7" authorId="0" shapeId="0" xr:uid="{AF602721-CC5A-4D74-B615-83E561AE5D94}">
      <text>
        <t>[Threaded comment]
Your version of Excel allows you to read this threaded comment; however, any edits to it will get removed if the file is opened in a newer version of Excel. Learn more: https://go.microsoft.com/fwlink/?linkid=870924
Comment:
    Source: Restoring Hope Association GL exports (Project Staff Salaries, Goods in Transit, Materials &amp; Supplies – Projects, Project Expense, Transportation – Projects, Transportation Exp, Advertising &amp; Digital Services, Printing &amp; Visibility – Projects, Patient Consultation Expenses, Professional Fees, Office Supplies &amp; Stationery, Warehouse Expenses) and TB Qatar Charity, period 01/01/2025–09/30/2026, uploaded 2026-09-24. Duplicate '(2)' files excluded. Descriptions condensed.</t>
      </text>
    </comment>
  </commentList>
</comments>
</file>

<file path=xl/sharedStrings.xml><?xml version="1.0" encoding="utf-8"?>
<sst xmlns="http://schemas.openxmlformats.org/spreadsheetml/2006/main" count="1093" uniqueCount="347">
  <si>
    <t>Description</t>
  </si>
  <si>
    <t>UNIT</t>
  </si>
  <si>
    <t># of Unit</t>
  </si>
  <si>
    <t>Freq</t>
  </si>
  <si>
    <t>curr</t>
  </si>
  <si>
    <t>unit price</t>
  </si>
  <si>
    <t>Budget Line</t>
  </si>
  <si>
    <t>Total</t>
  </si>
  <si>
    <t>Project Code</t>
  </si>
  <si>
    <t>Donor</t>
  </si>
  <si>
    <t>Remaining Budget</t>
  </si>
  <si>
    <t>Personel</t>
  </si>
  <si>
    <t>SAL_8</t>
  </si>
  <si>
    <t>SAL_9</t>
  </si>
  <si>
    <t>SAL_10</t>
  </si>
  <si>
    <t>SAL_11</t>
  </si>
  <si>
    <t>SAL_12</t>
  </si>
  <si>
    <t>SAL_13</t>
  </si>
  <si>
    <t>SAL_16</t>
  </si>
  <si>
    <t>SAL_17</t>
  </si>
  <si>
    <t>SAL_18</t>
  </si>
  <si>
    <t>SAL_19</t>
  </si>
  <si>
    <t>SAL_22</t>
  </si>
  <si>
    <t>SAL_23</t>
  </si>
  <si>
    <t>Location</t>
  </si>
  <si>
    <t>Amm</t>
  </si>
  <si>
    <t>Gaza</t>
  </si>
  <si>
    <t>Program Director</t>
  </si>
  <si>
    <t>Project Manager (GAZA)</t>
  </si>
  <si>
    <t>MEAL  Team Leader</t>
  </si>
  <si>
    <t>Gaza Technical Officer</t>
  </si>
  <si>
    <t>Amman Technical Officer</t>
  </si>
  <si>
    <t>Finance and Support Function Manager</t>
  </si>
  <si>
    <t>Supply Chain Officer</t>
  </si>
  <si>
    <t>Driver</t>
  </si>
  <si>
    <t>Admin Staff</t>
  </si>
  <si>
    <t>Health Insurance</t>
  </si>
  <si>
    <t xml:space="preserve">Social Security </t>
  </si>
  <si>
    <t>Months</t>
  </si>
  <si>
    <t>JOD</t>
  </si>
  <si>
    <t>Lum</t>
  </si>
  <si>
    <t>Total Project Budget</t>
  </si>
  <si>
    <t>Total in Euro</t>
  </si>
  <si>
    <t>Total in USD</t>
  </si>
  <si>
    <t xml:space="preserve">Total Personel </t>
  </si>
  <si>
    <t>Covering percentage from this project</t>
  </si>
  <si>
    <t>Prog_1</t>
  </si>
  <si>
    <t>Prog_2</t>
  </si>
  <si>
    <t>Prog_3</t>
  </si>
  <si>
    <t>Office and Utilities Cost</t>
  </si>
  <si>
    <t>OFC001</t>
  </si>
  <si>
    <t xml:space="preserve">Office Rent Cost </t>
  </si>
  <si>
    <t>EQP001</t>
  </si>
  <si>
    <t>IT Equipment</t>
  </si>
  <si>
    <t>Field Equipment</t>
  </si>
  <si>
    <t>Units</t>
  </si>
  <si>
    <t xml:space="preserve">Total Office and Utilities </t>
  </si>
  <si>
    <t>Grand Total</t>
  </si>
  <si>
    <t>Restoring Hope - Project Budget</t>
  </si>
  <si>
    <t>Project Duration 12 Months</t>
  </si>
  <si>
    <t>USD</t>
  </si>
  <si>
    <t>Date of Submission: 14th of Nov 2025</t>
  </si>
  <si>
    <t>Qatar Charity</t>
  </si>
  <si>
    <t>RH-2025-0006</t>
  </si>
  <si>
    <t>EQP003</t>
  </si>
  <si>
    <t>Amm and Gaza</t>
  </si>
  <si>
    <t xml:space="preserve">Visability </t>
  </si>
  <si>
    <t xml:space="preserve">
 Prosthetics Cost
</t>
  </si>
  <si>
    <t>Prog_5</t>
  </si>
  <si>
    <t xml:space="preserve">Mental Helth Sessions Cost </t>
  </si>
  <si>
    <t xml:space="preserve">Physical rehabilitation Sessions Cost </t>
  </si>
  <si>
    <t>EQP00215:2214:22C2817:2215:2216:2217:222:22</t>
  </si>
  <si>
    <t>Session</t>
  </si>
  <si>
    <t>Budget Narrative</t>
  </si>
  <si>
    <t>Prosthetic components to support amputees in Gaza were procured from Ottobock, one of the world’s leading and highest-quality prosthetics manufacturers. These items have already been ordered and received, ensuring timely availability for beneficiary rehabilitation.</t>
  </si>
  <si>
    <t xml:space="preserve">Based on case-by-case needs, not all 600+ beneficiaries will require mental health support. It is estimated that approximately 80% of the target population will need mental health sessions, with an average of four sessions per individual. This results in an estimated total of 2,000 sessions, budgeted at 18 JOD per session. Any underspend resulting from lower-than-anticipated utilization will be reallocated toward the procurement of assistive devices to support beneficiary rehabilitation needs. </t>
  </si>
  <si>
    <t>As rehabilitation needs vary across cases, not all 600+ beneficiaries will require the same level of therapy. It is estimated that approximately 80% of the total target group will need rehabilitation sessions, with an average of four sessions per individual. This results in an estimated 2,000 sessions, budgeted at 18 JOD per session. Any underspend resulting from lower-than-expected utilization will be reallocated to the procurement of assistive devices to further support beneficiaries’ functional recovery.</t>
  </si>
  <si>
    <t>Assistive devices are budgeted to support approximately 501 beneficiaries, with an estimated average cost of 229 JOD per case. These devices may include wheelchairs, crutches, portable toilet chairs, and medical beds. As needs differ across individuals, not all beneficiaries will receive the same items; distribution will be strictly based on clinical assessment and identified functional requirements. This budget line ensures that beneficiaries receive the most appropriate mobility and daily-living support devices to enhance independence and improve overall quality of life.</t>
  </si>
  <si>
    <t>Means of Verfication</t>
  </si>
  <si>
    <t xml:space="preserve">Purchase Request, Purchase order, Goods Received note (GRN), Handover certificate (Hamad Hospital), and, Donation certificate </t>
  </si>
  <si>
    <t>List of benificiraies, Registration sheet and sessions attendance sheets</t>
  </si>
  <si>
    <t xml:space="preserve">Purchase Request, Purchase order, Goods Received note (GRN), and, Donation certificate </t>
  </si>
  <si>
    <t xml:space="preserve">Videos and Photos </t>
  </si>
  <si>
    <t xml:space="preserve">QC  commnets </t>
  </si>
  <si>
    <t>no  reallocation without prior approval</t>
  </si>
  <si>
    <t>no reallocation without prior approval</t>
  </si>
  <si>
    <t xml:space="preserve">Please provide all  invoices too </t>
  </si>
  <si>
    <t xml:space="preserve">The unit cost is  too high and  no need to buy medical bed, please review this part again and make sure it does not exceed 20,000 JD  as a total </t>
  </si>
  <si>
    <r>
      <t xml:space="preserve">This budget line covers visibility and documentation requirements for the intervention, ensuring full compliance with donor branding guidelines. A minimum of 40 branded video stories will be produced and shared with Qatar Charity, in addition to over 200 high-quality photographs capturing and documenting as 200 beneficiary. These materials will support transparent reporting, highlight project impact, and enhance donor visibility.”
</t>
    </r>
    <r>
      <rPr>
        <b/>
        <sz val="11"/>
        <color theme="1"/>
        <rFont val="Franklin Gothic Book"/>
        <family val="2"/>
      </rPr>
      <t>Cost calculations</t>
    </r>
    <r>
      <rPr>
        <sz val="11"/>
        <color theme="1"/>
        <rFont val="Franklin Gothic Book"/>
        <family val="2"/>
      </rPr>
      <t xml:space="preserve">
</t>
    </r>
    <r>
      <rPr>
        <b/>
        <sz val="11"/>
        <color theme="1"/>
        <rFont val="Franklin Gothic Book"/>
        <family val="2"/>
      </rPr>
      <t>Videos</t>
    </r>
    <r>
      <rPr>
        <sz val="11"/>
        <color theme="1"/>
        <rFont val="Franklin Gothic Book"/>
        <family val="2"/>
      </rPr>
      <t xml:space="preserve">
250(Cost per video)*40 (Number of Videos)= 10,000 USD (Total)
</t>
    </r>
    <r>
      <rPr>
        <b/>
        <sz val="11"/>
        <color theme="1"/>
        <rFont val="Franklin Gothic Book"/>
        <family val="2"/>
      </rPr>
      <t>Photography &amp; Documentation (200 Individuals):</t>
    </r>
    <r>
      <rPr>
        <sz val="11"/>
        <color theme="1"/>
        <rFont val="Franklin Gothic Book"/>
        <family val="2"/>
      </rPr>
      <t xml:space="preserve">
A dedicated photographer will document an average of 3 beneficiary cases per day over 66 working days, totaling 200 individuals. The daily rate is USD 80, resulting in a total cost of USD 5,280.
10 roll-ups cost per roll-up is 120USD. Total 1,200 USD
2 panners cost per 1 is 45 USD, total 90 USD
</t>
    </r>
    <r>
      <rPr>
        <b/>
        <sz val="11"/>
        <color theme="1"/>
        <rFont val="Franklin Gothic Book"/>
        <family val="2"/>
      </rPr>
      <t>Grand Total 10,000 + 5,280 +1200 + 90 = 16,570</t>
    </r>
  </si>
  <si>
    <t xml:space="preserve">too high allocated for this budget line, please revise this
</t>
  </si>
  <si>
    <t>RHS Response</t>
  </si>
  <si>
    <t xml:space="preserve">Agreed
</t>
  </si>
  <si>
    <t>The beds included under this project are standard (non-medical) beds, selected to meet beneficiaries’ daily living needs in a dignified manner. The unit costs of wheelchairs, standard beds, and toilet chairs exceed USD 20, reflecting current market prices, quality requirements, and availability constraints.
Many beneficiaries will require more than one assistive device based on individual functional assessments. Providing multiple devices is essential to ensure safe mobility, continuity of care, and effective rehabilitation outcomes, and to uphold a dignified standard of assistance.
In addition, RHS is providing tents for selected cases under separate projects as a complementary service, particularly for highly vulnerable households. This integrated approach allows the project to address both rehabilitation needs and basic living conditions, without duplicating costs within this budget.</t>
  </si>
  <si>
    <t>Cost amended and calculation added 
Cost calculations
Videos
250(Cost per video)*40 (Number of Videos)= 10,000 USD (Total)
Photography &amp; Documentation (200 Individuals):
A dedicated photographer will document an average of 3 beneficiary cases per day over 66 working days, totaling 200 individuals. The daily rate is USD 80, resulting in a total cost of USD 5,280.
10 roll-ups cost per roll-up is 120USD. Total 1,200 USD
2 panners cost per 1 is 45 USD, total 90 USD
Grand Total 10,000 + 5,280 +1200 + 90 = 16,570</t>
  </si>
  <si>
    <t xml:space="preserve">Add 67K to this line for an additional 15 above-knee prosthetics
Budget line amended to reflect this
</t>
  </si>
  <si>
    <t>Axillary crutches – X-Large</t>
  </si>
  <si>
    <t>Piece</t>
  </si>
  <si>
    <t>Active wheelchair - Regular</t>
  </si>
  <si>
    <t>Folding bed - with mattress</t>
  </si>
  <si>
    <t>Toilet chair</t>
  </si>
  <si>
    <t>Walking frame without wheel - adult</t>
  </si>
  <si>
    <t>Walking frame without wheel - child</t>
  </si>
  <si>
    <t xml:space="preserve">Elbow crutch </t>
  </si>
  <si>
    <t>Medical shoes for the prosthesis</t>
  </si>
  <si>
    <t xml:space="preserve"> crutches   Tips</t>
  </si>
  <si>
    <t>Prog_6</t>
  </si>
  <si>
    <t>Prog_7</t>
  </si>
  <si>
    <t>Prog_8</t>
  </si>
  <si>
    <t>Prog_9</t>
  </si>
  <si>
    <t>Prog_10</t>
  </si>
  <si>
    <t>Prog_11</t>
  </si>
  <si>
    <t>Prog_12</t>
  </si>
  <si>
    <t>Prog_13</t>
  </si>
  <si>
    <t>Prog_14</t>
  </si>
  <si>
    <t>EQP002</t>
  </si>
  <si>
    <t>Total Amount</t>
  </si>
  <si>
    <t>Actual</t>
  </si>
  <si>
    <t>Remaining</t>
  </si>
  <si>
    <t>Burn Rate</t>
  </si>
  <si>
    <t>Forcast</t>
  </si>
  <si>
    <t>Commitments</t>
  </si>
  <si>
    <t>Actual with Commitments and Forcast</t>
  </si>
  <si>
    <t>Remaining with commitments and Forcast</t>
  </si>
  <si>
    <t>Burn Rate with Commitments</t>
  </si>
  <si>
    <t>Month</t>
  </si>
  <si>
    <t>Jan</t>
  </si>
  <si>
    <t>Feb</t>
  </si>
  <si>
    <t>Mar</t>
  </si>
  <si>
    <t>Apr</t>
  </si>
  <si>
    <t>May</t>
  </si>
  <si>
    <t>Jun</t>
  </si>
  <si>
    <t>Jul</t>
  </si>
  <si>
    <t>Aug</t>
  </si>
  <si>
    <t>Sep</t>
  </si>
  <si>
    <t>Oct</t>
  </si>
  <si>
    <t>Nov</t>
  </si>
  <si>
    <t>Dec</t>
  </si>
  <si>
    <t>Advertising &amp; Digital Services</t>
  </si>
  <si>
    <t>MISC/2026/02/0003 (Donations – Gaza families (Cochlear Implant Project)) Job advertisement - LinkedIn - Date 2026/01/23 - Job Title Partnership officer</t>
  </si>
  <si>
    <t>MISC/2026/03/0010 (Cheq No 82 - Name Nader Emad AL-Deen - Dated 2026/03/12) Documentary video production services for organizational [...]</t>
  </si>
  <si>
    <t>MISC/2026/04/0009 (Cheq No 94 - Date 2026/04/29) Video editing - From Mahmoud saloum - Gaza</t>
  </si>
  <si>
    <t>MISC/2026/05/0004 Video editing - Jaafar Salah Abdullah Malham - Cheq No 96 - Date 2026/04/29</t>
  </si>
  <si>
    <t>MISC/2026/05/0010 Gaza Video editing - 2 Video - Ghassan Ayman Fathi Ghanem - Cheq No 95 - Date 2026/04/29</t>
  </si>
  <si>
    <t>MISC/2026/06/0006 Photography and videography (Filed documentation and human stories) Mahmud abu hamda - Chq No 114 - Date 2026/05/10</t>
  </si>
  <si>
    <t>MISC/2026/06/0006 Media Coverage and One-Day Photography Session at Al-Ahli Arab Hospital – Gaza - Chq No 114</t>
  </si>
  <si>
    <t>MISC/2026/06/0009 Cheque No. 129 dated 2026/06/03 - Filming Services + RHS Roll up + Printing A5 Brouchure - Jafar Salah</t>
  </si>
  <si>
    <t>MISC/2026/06/0012 Cheque No. 131 dated 2026/06/03 – Shafiq Nidal Shafiq – filming services, RHS roll-up banner, A5 brochure printing</t>
  </si>
  <si>
    <t>MISC/2026/08/0024 Cheq No 198 Date 2026/08/27 - Ghassan Ghanem Hijawi - Video Editing and color grading Service</t>
  </si>
  <si>
    <t>MISC/2026/09/0004 Cheque No. 199 – Jaafar Salah Abdullah Melhem – Photography services for activities involving children affected by the war in Gaza</t>
  </si>
  <si>
    <t>Goods in Transit</t>
  </si>
  <si>
    <t>MISC/2025/12/0010 Goods in transit up to 2025/12/31 – Settled supplier OTTOBOCK SE AND CO KGAA GERMANY</t>
  </si>
  <si>
    <t>MISC/2026/01/0003 Inv. No 76 - Date 2025/12/17 - Shipping fees for prosthetic materials from Ottobock — POs 9012604842 and 9012604844</t>
  </si>
  <si>
    <t>MISC/2026/03/0004 (Clearance Exp) Chq No 67 - ALGhadaq Clearance inv no 1639 - Customs clearance fees for prosthetic devices [...]</t>
  </si>
  <si>
    <t>Materials &amp; Supplies – Projects</t>
  </si>
  <si>
    <t>MISC/2026/06/0030 Cheq No 141 - Mafaz Medical Equipment &amp; Devices Co - Training on the use of lower limb prosthesis, Invoice No. 22</t>
  </si>
  <si>
    <t>MISC/2026/07/0005 Cheq No 151 - AL- Tawaf medical equipment - Medical Supplies (POP Bandages &amp; Plaster Powder) for Project ECP [...]</t>
  </si>
  <si>
    <t>MISC/2026/07/0012 Bank Transfer 2026/07/08 - Adtechnologies Unipessoal LDA - Training - 5,643.67 $ - Materials Distributed in Gaza</t>
  </si>
  <si>
    <t>Training materials distributed in Gaza – allocated to prosthetics; please confirm</t>
  </si>
  <si>
    <t>MISC/2026/08/0012 Transfer 2026/08/10 - Upper limb prosthetic components from Al-Tawf Medical Equipment &amp; Supplies Co., PI No. 066-26</t>
  </si>
  <si>
    <t>MISC/2026/09/0005 Reversal of bank transfer amount upon receipt of supporting documents - Bank Transfer 2026/07/08 - Adtechnologies Unipessoal LDA - Training [...]</t>
  </si>
  <si>
    <t>Reversal entry linked to Adtechnologies transfer – allocated to prosthetics; please confirm</t>
  </si>
  <si>
    <t>MISC/2026/09/0009 Transfer 2026/08/31 - Upper limb prosthetic components from Al-Tawf Medical Equipment &amp; Supplies Co. [...]</t>
  </si>
  <si>
    <t>MISC/2026/09/0010 Transfer 2026/08/31 - Upper limb prosthetic components from Al-Tawf Medical Equipment &amp; Supplies Co. [...]</t>
  </si>
  <si>
    <t>Office Supplies &amp; Stationery</t>
  </si>
  <si>
    <t>MISC/2026/07/0019 Stationary – PSS event - Date 2026/07/16 - Majed Petty Cash</t>
  </si>
  <si>
    <t>Patient Consultation Expenses</t>
  </si>
  <si>
    <t>MISC/2026/07/0016 Transfer to Belal Mohammad, MHPSS services fees 11 June 2026 to 4 July 2026, as per activity report</t>
  </si>
  <si>
    <t>MISC/2026/08/0025 Cheq No 183 to Belal Mohammad, MHPSS services fees 05 July 2026 to 30 July 2026, as per activity report</t>
  </si>
  <si>
    <t>Printing &amp; Visibility – Projects</t>
  </si>
  <si>
    <t>MISC/2026/03/0009 Cheq No 84 - Nader Emad Al-Deen - Basel Mushtaha Printing Press, Invoice No. 309 [...]</t>
  </si>
  <si>
    <t>MISC/2026/08/0016 Printing, removal and installation of a new banner in Gaza by Basel Mushtaha Printing Press - Cheq No 182</t>
  </si>
  <si>
    <t>Professional Fees (Consulting)</t>
  </si>
  <si>
    <t>MISC/2026/08/0008 cheq No 188 - Psychosocial consultancy fees for Maram Monadel Omar Abdelhadi, Qatar Project, July and August 2026</t>
  </si>
  <si>
    <t>Project Expense</t>
  </si>
  <si>
    <t>MISC/2026/03/0008 Patient Transportation Plan – Gaza - Transfer 2026/03/15 to Yabreen for Trading export import company [...]</t>
  </si>
  <si>
    <t>MISC/2026/05/0002 (Mjed Petty Cash) Transportation Cost For HABIBA - 2026/03/29 to 2026/04/01</t>
  </si>
  <si>
    <t>MISC/2026/05/0011 Transporting The Child Habiba - Date 2026/05/12</t>
  </si>
  <si>
    <t>MISC/2026/05/0011 Transporting the child habiba SOS to Mafaz Company and back - 2026/05/12 to 2026/05/17</t>
  </si>
  <si>
    <t>MISC/2026/06/0004 Collection of prosthetic Limbs from Qatar Charity warehouse (Sahab) - 2026/05/22</t>
  </si>
  <si>
    <t>MISC/2026/06/0006 Medical and surgical services contract - Ahlia Arab hospital - Chq No 114</t>
  </si>
  <si>
    <t>MISC/2026/06/0006 Psychological support and cognitive development tools - Qatar Charity - Chq No 114</t>
  </si>
  <si>
    <t>MISC/2026/06/0023 Cheq No 144 - Breakfast for Patients from Hamada Restaurant</t>
  </si>
  <si>
    <t>MISC/2026/06/0027 Video Filming Services for the Amputees Event, Khan Younis, Gaza – Khaled Hajaj - Cheq No 140</t>
  </si>
  <si>
    <t>MISC/2026/06/0027 T-Shirt Gifts – Mohammad Al-Basheiti Company - Cheq No 140</t>
  </si>
  <si>
    <t>MISC/2026/06/0027 Venue, Hospitality and Lunch – Sky View Restaurant – PO P00031/2026 - Cheq No 140</t>
  </si>
  <si>
    <t>MISC/2026/06/0025 Cheque No. 147 – Ahmed Kamal Sukarieh – Lunch for Patients</t>
  </si>
  <si>
    <t>MISC/2026/06/0026 Cheque No. 143 – Nouruddin Issa Abdulkarim Qashtah – North Farm Rent for Patients</t>
  </si>
  <si>
    <t>MISC/2026/07/0002 Assistive devices / Abu Lail for medical and sports Equipment - Inv 26101554</t>
  </si>
  <si>
    <t>MISC/2026/07/0011 Bireen Import &amp; Export Company - Shopping Vouchers No.71</t>
  </si>
  <si>
    <t>MISC/2026/07/0011 Bireen Import &amp; Export Company - Shopping Vouchers No.9</t>
  </si>
  <si>
    <t>MISC/2026/07/0011 Bireen Import &amp; Export Company - Shopping Vouchers for Employees no 1</t>
  </si>
  <si>
    <t>MISC/2026/07/0011 Bireen Import &amp; Export Company - Shopping Vouchers No.7</t>
  </si>
  <si>
    <t>MISC/2026/07/0011 Bireen Import &amp; Export Company - Administrative Expenses for Voucher Distribution</t>
  </si>
  <si>
    <t>MISC/2026/07/0015 Mufaz Medical Equipment and Devices Co. Invoice No. 26 - Prosthesis Training – Habibat Allah</t>
  </si>
  <si>
    <t>MISC/2026/07/0019 Nescafe, juice, biscuit, group session RC - Qatar Project Training - Majed petty cash</t>
  </si>
  <si>
    <t>MISC/2026/07/0025 Cheq No 171 - Alaa Dwaikat - MHPSS Activity – Children Psychosocial Support Event, 26 July 2026</t>
  </si>
  <si>
    <t>MISC/2026/08/0011 Expenses related to JRC activity. Date 2026/08/04</t>
  </si>
  <si>
    <t>MISC/2026/08/0004 Cheq No 194 - Medical laboratory tests by Biolab for patient Reham Al-Shami</t>
  </si>
  <si>
    <t>MISC/2026/09/0017 Cheque No. 206 – Abdali Hospital – Knee joint replacement surgery for patient Reham Al-Shami</t>
  </si>
  <si>
    <t>MISC/2026/09/0007 Cheque No. 185 – Ebdaa Tabarbour Specialized Physiotherapy Center – Physiotherapy sessions for the child Yazan</t>
  </si>
  <si>
    <t>MISC/2026/09/0011 Biolab Test - Reham From Gaza - Date 2026/08/20</t>
  </si>
  <si>
    <t>MISC/2026/09/0011 Medical tests for one of our patients From Gaza - Date 2026/09/02</t>
  </si>
  <si>
    <t>Project Staff Salaries</t>
  </si>
  <si>
    <t>MISC/2026/02/0004 Salaries of the Association’s 12 Employees in the Gaza - Jan.2026</t>
  </si>
  <si>
    <t>Gaza salaries split 50/50 per instruction</t>
  </si>
  <si>
    <t>MISC/2026/02/0005 Salaries of the Association’s 12 Employees in the Gaza - Dec.2025</t>
  </si>
  <si>
    <t>MISC/2026/03/0010 Cheq No 82 - Salaries of the Association’s Employees in the Gaza - Feb.2026</t>
  </si>
  <si>
    <t>MISC/2026/04/0006 Salaries of the Association’s Employee in the Gaza - March.2026 - Doha Abu Watfa</t>
  </si>
  <si>
    <t>MISC/2026/04/0006 Salaries of the Association’s Employee in the Gaza - March.2026 - Oday Shaheen</t>
  </si>
  <si>
    <t>MISC/2026/04/0006 Salaries of the Association’s Employee in the Gaza - March.2026 - Adel AL-Faqaawi</t>
  </si>
  <si>
    <t>MISC/2026/04/0006 Salaries of the Association’s Employee in the Gaza - March.2026 - Baraa Elhawajri</t>
  </si>
  <si>
    <t>MISC/2026/04/0006 Salaries of the Association’s Employee in the Gaza - March.2026 - Rowaa Al-Mozanan</t>
  </si>
  <si>
    <t>MISC/2026/04/0006 Salaries of the Association’s Employee in the Gaza - March.2026 - Doaa Qeshta</t>
  </si>
  <si>
    <t>MISC/2026/04/0006 Salaries of the Association’s Employee in the Gaza - March.2026 - Iman AL Badrasawi</t>
  </si>
  <si>
    <t>MISC/2026/04/0006 Salaries of the Association’s Employee in the Gaza - March.2026 - Sobheia Aboslaieh</t>
  </si>
  <si>
    <t>MISC/2026/04/0006 Salaries of the Association’s Employee in the Gaza - March.2026 - Leena Elghazali</t>
  </si>
  <si>
    <t>MISC/2026/04/0006 Salaries of the Association’s Employee in the Gaza - March.2026 - Abdelazez Arafat</t>
  </si>
  <si>
    <t>MISC/2026/04/0006 Salaries of the Association’s Employee in the Gaza - March.2026 - Bisan AlDahshan</t>
  </si>
  <si>
    <t>MISC/2026/04/0006 Salaries of the Association’s Employee in the Gaza - March.2026 - Rabah ALAshqar</t>
  </si>
  <si>
    <t>MISC/2026/04/0006 Salaries of the Association’s Employee in the Gaza - March.2026 - Rafat Elsalmy</t>
  </si>
  <si>
    <t>MISC/2026/05/0009 Salaries of the Association’s Employee in the Gaza - May.2026 - Bisan Khaled</t>
  </si>
  <si>
    <t>MISC/2026/05/0009 Salaries of the Association’s Employee in the Gaza - May.2026 - Rabah Jamal</t>
  </si>
  <si>
    <t>MISC/2026/05/0009 Salaries of the Association’s Employee in the Gaza - May.2026 - Refat Elsalmy</t>
  </si>
  <si>
    <t>MISC/2026/05/0009 Salaries of the Association’s Employee in the Gaza - May.2026 - Doha Abu Watfa</t>
  </si>
  <si>
    <t>MISC/2026/05/0009 Salaries of the Association’s Employee in the Gaza - May.2026 - Oday Shaheen</t>
  </si>
  <si>
    <t>MISC/2026/05/0009 Salaries of the Association’s Employee in the Gaza - May.2026 - Adel AL-Faqaawi</t>
  </si>
  <si>
    <t>MISC/2026/05/0009 Salaries of the Association’s Employee in the Gaza - May.2026 - Braa Elhawajri</t>
  </si>
  <si>
    <t>MISC/2026/05/0009 Salaries of the Association’s Employee in the Gaza - May.2026 - Rowaa AL Mozanan</t>
  </si>
  <si>
    <t>MISC/2026/05/0009 Salaries of the Association’s Employee in the Gaza - May.2026 - Doaa Qeshta</t>
  </si>
  <si>
    <t>MISC/2026/05/0009 Salaries of the Association’s Employee in the Gaza - May.2026 - Iman Al Badrasawi</t>
  </si>
  <si>
    <t>MISC/2026/05/0009 Salaries of the Association’s Employee in the Gaza - May.2026 - Sobheia Aboslaieh</t>
  </si>
  <si>
    <t>MISC/2026/05/0009 Salaries of the Association’s Employee in the Gaza - May.2026 - Leena Elghazli</t>
  </si>
  <si>
    <t>MISC/2026/05/0009 Salaries of the Association’s Employee in the Gaza - May.2026 - Abdelazez Arafat</t>
  </si>
  <si>
    <t>MISC/2026/06/0020 Salaries of the Association’s Employee in the Gaza - June.2026 - Bisan Khaled</t>
  </si>
  <si>
    <t>MISC/2026/06/0020 Salaries of the Association’s Employee in the Gaza - June.2026 - Rabah Jamal</t>
  </si>
  <si>
    <t>MISC/2026/06/0020 Salaries of the Association’s Employee in the Gaza - June.2026 - Refat Elsalmy</t>
  </si>
  <si>
    <t>MISC/2026/06/0020 Salaries of the Association’s Employee in the Gaza - June.2026 - Doha Abu Watfa</t>
  </si>
  <si>
    <t>MISC/2026/06/0020 Salaries of the Association’s Employee in the Gaza - June.2026 - Oday Shaheen</t>
  </si>
  <si>
    <t>MISC/2026/06/0020 Salaries of the Association’s Employee in the Gaza - June.2026 - Adel AL-Faqaawi</t>
  </si>
  <si>
    <t>MISC/2026/06/0020 Salaries of the Association’s Employee in the Gaza - June.2026 - Braa Elhawajri</t>
  </si>
  <si>
    <t>MISC/2026/06/0020 Salaries of the Association’s Employee in the Gaza - June.2026 - Rowaa AL Mozanan</t>
  </si>
  <si>
    <t>MISC/2026/06/0020 Salaries of the Association’s Employee in the Gaza - June.2026 - Doaa Qeshta</t>
  </si>
  <si>
    <t>MISC/2026/06/0020 Salaries of the Association’s Employee in the Gaza - June.2026 - Iman Al Badrasawi</t>
  </si>
  <si>
    <t>MISC/2026/06/0020 Salaries of the Association’s Employee in the Gaza - June.2026 - Sobheia Aboslaieh</t>
  </si>
  <si>
    <t>MISC/2026/06/0020 Salaries of the Association’s Employee in the Gaza - June.2026 - Leena Elghazli</t>
  </si>
  <si>
    <t>MISC/2026/06/0020 Salaries of the Association’s Employee in the Gaza - June.2026 - Abdelazez Arafat</t>
  </si>
  <si>
    <t>MISC/2026/07/0017 Salaries of the Association’s Employee in the Gaza - July.2026 - Bisan Khaled</t>
  </si>
  <si>
    <t>MISC/2026/07/0017 Salaries of the Association’s Employee in the Gaza - July.2026 - Rabah Jamal</t>
  </si>
  <si>
    <t>MISC/2026/07/0017 Salaries of the Association’s Employee in the Gaza - July.2026 - Refat Elsalmy</t>
  </si>
  <si>
    <t>MISC/2026/07/0017 Salaries of the Association’s Employee in the Gaza - July.2026 - Doha Abu Watfa</t>
  </si>
  <si>
    <t>MISC/2026/07/0017 Salaries of the Association’s Employee in the Gaza - July.2026 - Oday Shaheen</t>
  </si>
  <si>
    <t>MISC/2026/07/0017 Salaries of the Association’s Employee in the Gaza - July.2026 - Adel AL-Faqaawi</t>
  </si>
  <si>
    <t>MISC/2026/07/0017 Salaries of the Association’s Employee in the Gaza - July.2026 - Braa Elhawajri</t>
  </si>
  <si>
    <t>MISC/2026/07/0017 Salaries of the Association’s Employee in the Gaza - July.2026 - Rowaa AL Mozanan</t>
  </si>
  <si>
    <t>MISC/2026/07/0017 Salaries of the Association’s Employee in the Gaza - July.2026 - Doaa Qeshta</t>
  </si>
  <si>
    <t>MISC/2026/07/0017 Salaries of the Association’s Employee in the Gaza - July.2026 - Iman Al Badrasawi</t>
  </si>
  <si>
    <t>MISC/2026/07/0017 Salaries of the Association’s Employee in the Gaza - July.2026 - Sobheia Aboslaieh</t>
  </si>
  <si>
    <t>MISC/2026/07/0017 Salaries of the Association’s Employee in the Gaza - July.2026 - Leena Elghazli</t>
  </si>
  <si>
    <t>MISC/2026/07/0017 Salaries of the Association’s Employee in the Gaza - July.2026 - Abdelazez Arafat</t>
  </si>
  <si>
    <t>MISC/2026/08/0023 Salaries of the Association’s Employee in the Gaza - Aug.2026 - Bisan Khaled</t>
  </si>
  <si>
    <t>MISC/2026/08/0023 Salaries of the Association’s Employee in the Gaza - Aug.2026 - Rabah Jamal</t>
  </si>
  <si>
    <t>MISC/2026/08/0023 Salaries of the Association’s Employee in the Gaza - Aug.2026 - Refat Elsalmy</t>
  </si>
  <si>
    <t>MISC/2026/08/0023 Salaries of the Association’s Employee in the Gaza - Aug.2026 - Doha Abu Watfa</t>
  </si>
  <si>
    <t>MISC/2026/08/0023 Salaries of the Association’s Employee in the Gaza - Aug.2026 - Oday Shaheen</t>
  </si>
  <si>
    <t>MISC/2026/08/0023 Salaries of the Association’s Employee in the Gaza - Aug.2026 - Adel AL-Faqaawi</t>
  </si>
  <si>
    <t>MISC/2026/08/0023 Salaries of the Association’s Employee in the Gaza - Aug.2026 - Braa Elhawajri</t>
  </si>
  <si>
    <t>MISC/2026/08/0023 Salaries of the Association’s Employee in the Gaza - Aug.2026 - Rowaa AL Mozanan</t>
  </si>
  <si>
    <t>MISC/2026/08/0023 Salaries of the Association’s Employee in the Gaza - Aug.2026 - Doaa Qeshta</t>
  </si>
  <si>
    <t>MISC/2026/08/0023 Salaries of the Association’s Employee in the Gaza - Aug.2026 - Iman Al Badrasawi</t>
  </si>
  <si>
    <t>MISC/2026/08/0023 Salaries of the Association’s Employee in the Gaza - Aug.2026 - Sobheia Aboslaieh</t>
  </si>
  <si>
    <t>MISC/2026/08/0023 Salaries of the Association’s Employee in the Gaza - Aug.2026 - Leena Elghazli</t>
  </si>
  <si>
    <t>MISC/2026/08/0023 Salaries of the Association’s Employee in the Gaza - Aug.2026 - Abdelazez Arafat</t>
  </si>
  <si>
    <t>Transportation Exp</t>
  </si>
  <si>
    <t>MISC/2026/05/0014 Patient Transfer From the Red Crescent to AL-Touf Center - Chq No 116 - Eyad Katkat</t>
  </si>
  <si>
    <t>MISC/2026/08/0009 Bireen Import &amp; Export Company - Transportation services for staff and patients - EIN 0015</t>
  </si>
  <si>
    <t>MISC/2026/08/0010 Bireen Import &amp; Export Company - Transportation services for staff and patients - EIN 0014</t>
  </si>
  <si>
    <t>MISC/2026/08/0023 Transportation Allowance of the Association’s Employee in the Gaza - Aug.2026 - Doha Abu Watfa</t>
  </si>
  <si>
    <t>MISC/2026/08/0023 Transportation Allowance of the Association’s Employee in the Gaza - Aug.2026 - Oday Shaheen</t>
  </si>
  <si>
    <t>MISC/2026/08/0023 Transportation Allowance of the Association’s Employee in the Gaza - Aug.2026 - Adel AL-Faqaawi</t>
  </si>
  <si>
    <t>MISC/2026/08/0023 Transportation Allowance of the Association’s Employee in the Gaza - Aug.2026 - Braa Elhawajri</t>
  </si>
  <si>
    <t>MISC/2026/08/0023 Transportation Allowance of the Association’s Employee in the Gaza - Aug.2026 - Rowaa AL Mozanan</t>
  </si>
  <si>
    <t>MISC/2026/08/0023 Transportation Allowance of the Association’s Employee in the Gaza - Aug.2026 - Doaa Qeshta</t>
  </si>
  <si>
    <t>MISC/2026/08/0023 Transportation Allowance of the Association’s Employee in the Gaza - Aug.2026 - Iman Al Badrasawi</t>
  </si>
  <si>
    <t>MISC/2026/08/0023 Transportation Allowance of the Association’s Employee in the Gaza - Aug.2026 - Sobheia Aboslaieh</t>
  </si>
  <si>
    <t>MISC/2026/08/0023 Transportation Allowance of the Association’s Employee in the Gaza - Aug.2026 - Leena Elghazli</t>
  </si>
  <si>
    <t>MISC/2026/08/0023 Transportation Allowance of the Association’s Employee in the Gaza - Aug.2026 - Abdelazez Arafat</t>
  </si>
  <si>
    <t>Transportation – Projects</t>
  </si>
  <si>
    <t>MISC/2026/06/0005 Patient Transportation 5 Days - Chq No 125 - Kirresh Tourist transport</t>
  </si>
  <si>
    <t>MISC/2026/06/0011 Cheque No. 137 – Sahara Qirsh Tourist Transport – patient transportation within Amman</t>
  </si>
  <si>
    <t>MISC/2026/06/0016 Cheque No. 130 – Eyad Katkat – patient transportation services</t>
  </si>
  <si>
    <t>MISC/2026/07/0007 Cheque No. 156 – Kirresh Tourist Transportation – Patients to/from farm activity [...]</t>
  </si>
  <si>
    <t>MISC/2026/07/0002 Transportation Cost for Habiba 2026/06/25</t>
  </si>
  <si>
    <t>MISC/2026/07/0002 Transportation Cost for Reham 2026/06/25</t>
  </si>
  <si>
    <t>MISC/2026/07/0026 Bereen Trading &amp; Export Co. – patient transportation within Gaza for March 2026</t>
  </si>
  <si>
    <t>MISC/2026/07/0019 Transportation cost for Habiba 2026/07/20 - Majed petty cash</t>
  </si>
  <si>
    <t>MISC/2026/07/0032 Cheque No. 169 – Kirresh Tourist Transportation – Patients to/from farm activity [...]</t>
  </si>
  <si>
    <t>MISC/2026/08/0022 Cheque No. 197 – Kirresh Tourist Transportation – Patients to/from farm activity [...]</t>
  </si>
  <si>
    <t>MISC/2026/09/0011 Patients Transportation 2026/09/06 + 2026/09/08</t>
  </si>
  <si>
    <t>MISC/2026/09/0013 Taxiat Company – Invoice No. 532 – patient transportation 18 July to 26 August 2026</t>
  </si>
  <si>
    <t>Warehouse Expenses</t>
  </si>
  <si>
    <t>MISC/2026/05/0011 Worker fee For Prosthetic Withdrawal From JCHO warehouses incl. Transportation</t>
  </si>
  <si>
    <t>Expense Allocation – Qatar Charity Project (RH-2025-0006)</t>
  </si>
  <si>
    <t>GL period 01/01/2025 – 09/30/2026. Amounts in JOD; converted to USD on Sheet1 Actual column. Change Budget Line / % cells to re-allocate.</t>
  </si>
  <si>
    <t>JOD → USD rate</t>
  </si>
  <si>
    <t>Total per Trial Balance (JOD)</t>
  </si>
  <si>
    <t>Total expenses in ledger (JOD)</t>
  </si>
  <si>
    <t>Allocated to budget lines (JOD)</t>
  </si>
  <si>
    <t>Unallocated (JOD)</t>
  </si>
  <si>
    <t>Check vs Trial Balance (should be 0)</t>
  </si>
  <si>
    <t>Account Code</t>
  </si>
  <si>
    <t>Account Name</t>
  </si>
  <si>
    <t>Date</t>
  </si>
  <si>
    <t>Amount (JOD)</t>
  </si>
  <si>
    <t>Budget Line 1</t>
  </si>
  <si>
    <t>% Line 1</t>
  </si>
  <si>
    <t>Budget Line 2</t>
  </si>
  <si>
    <t>% Line 2</t>
  </si>
  <si>
    <t>Line 1 Amount (JOD)</t>
  </si>
  <si>
    <t>Line 2 Amount (JOD)</t>
  </si>
  <si>
    <t>Allocation Note</t>
  </si>
  <si>
    <t>UNB_1</t>
  </si>
  <si>
    <t>Unbudgeted – Patient &amp; Staff Transportation</t>
  </si>
  <si>
    <t>UNB_2</t>
  </si>
  <si>
    <t>Unbudgeted – Medical Services (surgery, hospital, lab tests)</t>
  </si>
  <si>
    <t>UNB_3</t>
  </si>
  <si>
    <t>Unbudgeted – Shopping Vouchers</t>
  </si>
  <si>
    <t>UNB_4</t>
  </si>
  <si>
    <t>Unbudgeted – Patient Activities, Events &amp; Meals</t>
  </si>
  <si>
    <t>UNB_5</t>
  </si>
  <si>
    <t>Unbudgeted – To be reclassified (miscoded job ad / unspecified assistive device)</t>
  </si>
  <si>
    <t>Unbudgeted Expenses (not in approved budget)</t>
  </si>
  <si>
    <t>Patient &amp; Staff Transportation</t>
  </si>
  <si>
    <t>Medical Services (Surgery, Hospital, Lab Tests)</t>
  </si>
  <si>
    <t>Shopping Vouchers (incl. distribution fee)</t>
  </si>
  <si>
    <t>Patient Activities, Events &amp; Meals</t>
  </si>
  <si>
    <t>—</t>
  </si>
  <si>
    <t>Other – To Be Reclassified</t>
  </si>
  <si>
    <t>Total Unbudgeted Expenses</t>
  </si>
  <si>
    <t>Financial Summary</t>
  </si>
  <si>
    <t>Donation received from Qatar Charity</t>
  </si>
  <si>
    <t>Approved budget</t>
  </si>
  <si>
    <t>Spent on approved budget lines</t>
  </si>
  <si>
    <t>Spent on unbudgeted lines</t>
  </si>
  <si>
    <t>Total spent</t>
  </si>
  <si>
    <t>Remaining approved budget (after all spending)</t>
  </si>
  <si>
    <t>Cash balance (donation received – total spent)</t>
  </si>
  <si>
    <t>Overall burn rate vs approved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</si>
</sst>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
    <numFmt numFmtId="165" formatCode="yyyy\-mm\-dd"/>
    <numFmt numFmtId="166" formatCode="#,##0.000"/>
    <numFmt numFmtId="167" formatCode="#,##0.000;\(#,##0.000\);\-"/>
    <numFmt numFmtId="168" formatCode="#,##0.00;\(#,##0.00\);\-"/>
    <numFmt numFmtId="169" formatCode="0.0%"/>
    <numFmt numFmtId="170" formatCode="#,##0;\(#,##0\);\-"/>
  </numFmts>
  <fonts count="25" x14ac:knownFonts="1">
    <font>
      <sz val="11"/>
      <color theme="1"/>
      <name val="Calibri"/>
      <family val="2"/>
      <scheme val="minor"/>
    </font>
    <font>
      <sz val="11"/>
      <color theme="0"/>
      <name val="Calibri"/>
      <family val="2"/>
      <scheme val="minor"/>
    </font>
    <font>
      <sz val="11"/>
      <color theme="1"/>
      <name val="Franklin Gothic Book"/>
      <family val="2"/>
    </font>
    <font>
      <b/>
      <sz val="11"/>
      <color theme="1"/>
      <name val="Franklin Gothic Book"/>
      <family val="2"/>
    </font>
    <font>
      <b/>
      <sz val="10"/>
      <color theme="1"/>
      <name val="Franklin Gothic Book"/>
      <family val="2"/>
    </font>
    <font>
      <sz val="10"/>
      <color theme="1"/>
      <name val="Franklin Gothic Book"/>
      <family val="2"/>
    </font>
    <font>
      <b/>
      <sz val="11"/>
      <color theme="0"/>
      <name val="Franklin Gothic Book"/>
      <family val="2"/>
    </font>
    <font>
      <b/>
      <sz val="12"/>
      <color theme="0"/>
      <name val="Franklin Gothic Book"/>
      <family val="2"/>
    </font>
    <font>
      <sz val="11"/>
      <color theme="0"/>
      <name val="Franklin Gothic Book"/>
      <family val="2"/>
    </font>
    <font>
      <sz val="12"/>
      <color theme="1"/>
      <name val="Aptos"/>
      <family val="2"/>
    </font>
    <font>
      <sz val="8"/>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11"/>
      <color rgb="FF000000"/>
      <name val="Calibri"/>
      <family val="2"/>
      <scheme val="minor"/>
    </font>
    <font>
      <b/>
      <sz val="10"/>
      <color rgb="FF000000"/>
      <name val="Calibri"/>
      <family val="2"/>
      <scheme val="minor"/>
    </font>
    <font>
      <b/>
      <sz val="11"/>
      <color theme="1"/>
      <name val="Calibri"/>
      <family val="2"/>
      <scheme val="minor"/>
    </font>
    <font>
      <b/>
      <sz val="14"/>
      <color theme="1"/>
      <name val="Calibri"/>
      <family val="2"/>
      <scheme val="minor"/>
    </font>
    <font>
      <i/>
      <sz val="11"/>
      <color rgb="FF595959"/>
      <name val="Calibri"/>
      <family val="2"/>
      <scheme val="minor"/>
    </font>
    <font>
      <sz val="11"/>
      <color rgb="FF0000FF"/>
      <name val="Calibri"/>
      <family val="2"/>
      <scheme val="minor"/>
    </font>
    <font>
      <b/>
      <sz val="11"/>
      <color rgb="FFFFFFFF"/>
      <name val="Calibri"/>
      <family val="2"/>
      <scheme val="minor"/>
    </font>
    <font>
      <b/>
      <sz val="10"/>
      <color rgb="FFFFFFFF"/>
      <name val="Calibri"/>
      <family val="2"/>
      <scheme val="minor"/>
    </font>
    <font>
      <sz val="10"/>
      <color rgb="FF0000FF"/>
      <name val="Calibri"/>
      <family val="2"/>
      <scheme val="minor"/>
    </font>
    <font>
      <sz val="10"/>
      <color rgb="FF008000"/>
      <name val="Calibri"/>
      <family val="2"/>
      <scheme val="minor"/>
    </font>
  </fonts>
  <fills count="13">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9" tint="-0.499984740745262"/>
        <bgColor indexed="64"/>
      </patternFill>
    </fill>
    <fill>
      <patternFill patternType="solid">
        <fgColor theme="0"/>
        <bgColor rgb="FFFFFACD"/>
      </patternFill>
    </fill>
    <fill>
      <patternFill patternType="solid">
        <fgColor theme="4" tint="-0.249977111117893"/>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rgb="FF1F4E78"/>
        <bgColor indexed="64"/>
      </patternFill>
    </fill>
    <fill>
      <patternFill patternType="solid">
        <fgColor rgb="FFFCE4D6"/>
        <bgColor indexed="64"/>
      </patternFill>
    </fill>
  </fills>
  <borders count="18">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thin">
        <color indexed="64"/>
      </left>
      <right/>
      <top/>
      <bottom/>
      <diagonal/>
    </border>
    <border>
      <left/>
      <right/>
      <top/>
      <bottom style="thin">
        <color auto="1"/>
      </bottom>
      <diagonal/>
    </border>
  </borders>
  <cellStyleXfs count="3">
    <xf numFmtId="0" fontId="0" fillId="0" borderId="0"/>
    <xf numFmtId="43" fontId="11" fillId="0" borderId="0" applyFont="0" applyFill="0" applyBorder="0" applyAlignment="0" applyProtection="0"/>
    <xf numFmtId="9" fontId="11" fillId="0" borderId="0" applyFont="0" applyFill="0" applyBorder="0" applyAlignment="0" applyProtection="0"/>
  </cellStyleXfs>
  <cellXfs count="114">
    <xf numFmtId="0" fontId="0" fillId="0" borderId="0" xfId="0"/>
    <xf numFmtId="0" fontId="0" fillId="3" borderId="0" xfId="0" applyFill="1"/>
    <xf numFmtId="0" fontId="4" fillId="3" borderId="1" xfId="0" applyFont="1" applyFill="1" applyBorder="1"/>
    <xf numFmtId="0" fontId="5" fillId="3" borderId="1" xfId="0" applyFont="1" applyFill="1" applyBorder="1"/>
    <xf numFmtId="0" fontId="4" fillId="3" borderId="2" xfId="0" applyFont="1" applyFill="1" applyBorder="1"/>
    <xf numFmtId="3" fontId="5" fillId="3" borderId="1" xfId="0" applyNumberFormat="1" applyFont="1" applyFill="1" applyBorder="1"/>
    <xf numFmtId="3" fontId="5" fillId="3" borderId="2" xfId="0" applyNumberFormat="1" applyFont="1" applyFill="1" applyBorder="1"/>
    <xf numFmtId="0" fontId="6" fillId="4" borderId="1" xfId="0" applyFont="1" applyFill="1" applyBorder="1" applyAlignment="1">
      <alignment horizontal="center"/>
    </xf>
    <xf numFmtId="0" fontId="7" fillId="4" borderId="0" xfId="0" applyFont="1" applyFill="1"/>
    <xf numFmtId="0" fontId="0" fillId="2" borderId="0" xfId="0" applyFill="1"/>
    <xf numFmtId="0" fontId="2" fillId="0" borderId="4" xfId="0" applyFont="1" applyBorder="1"/>
    <xf numFmtId="0" fontId="2" fillId="0" borderId="4" xfId="0" applyFont="1" applyBorder="1" applyAlignment="1">
      <alignment horizontal="left"/>
    </xf>
    <xf numFmtId="3" fontId="2" fillId="0" borderId="4" xfId="0" applyNumberFormat="1" applyFont="1" applyBorder="1" applyAlignment="1">
      <alignment horizontal="left"/>
    </xf>
    <xf numFmtId="9" fontId="2" fillId="0" borderId="4" xfId="0" applyNumberFormat="1" applyFont="1" applyBorder="1" applyAlignment="1">
      <alignment horizontal="center"/>
    </xf>
    <xf numFmtId="0" fontId="0" fillId="3" borderId="4" xfId="0" applyFill="1" applyBorder="1"/>
    <xf numFmtId="164" fontId="6" fillId="4" borderId="4" xfId="0" applyNumberFormat="1" applyFont="1" applyFill="1" applyBorder="1"/>
    <xf numFmtId="0" fontId="6" fillId="4" borderId="4" xfId="0" applyFont="1" applyFill="1" applyBorder="1" applyAlignment="1">
      <alignment horizontal="center"/>
    </xf>
    <xf numFmtId="0" fontId="3" fillId="2" borderId="4" xfId="0" applyFont="1" applyFill="1" applyBorder="1" applyAlignment="1">
      <alignment horizontal="left"/>
    </xf>
    <xf numFmtId="164" fontId="3" fillId="2" borderId="4" xfId="0" applyNumberFormat="1" applyFont="1" applyFill="1" applyBorder="1"/>
    <xf numFmtId="0" fontId="0" fillId="2" borderId="4" xfId="0" applyFill="1" applyBorder="1"/>
    <xf numFmtId="0" fontId="2" fillId="0" borderId="4" xfId="0" applyFont="1" applyBorder="1" applyAlignment="1">
      <alignment vertical="center"/>
    </xf>
    <xf numFmtId="0" fontId="2" fillId="5" borderId="4" xfId="0" applyFont="1" applyFill="1" applyBorder="1" applyAlignment="1">
      <alignment wrapText="1"/>
    </xf>
    <xf numFmtId="0" fontId="2" fillId="0" borderId="4" xfId="0" applyFont="1" applyBorder="1" applyAlignment="1">
      <alignment horizontal="left" vertical="center"/>
    </xf>
    <xf numFmtId="3" fontId="2" fillId="0" borderId="4" xfId="0" applyNumberFormat="1" applyFont="1" applyBorder="1" applyAlignment="1">
      <alignment horizontal="left" vertical="center"/>
    </xf>
    <xf numFmtId="9" fontId="2" fillId="0" borderId="4" xfId="0" applyNumberFormat="1" applyFont="1" applyBorder="1" applyAlignment="1">
      <alignment horizontal="center" vertical="center"/>
    </xf>
    <xf numFmtId="3" fontId="2" fillId="0" borderId="4" xfId="0" applyNumberFormat="1" applyFont="1" applyBorder="1" applyAlignment="1">
      <alignment vertical="top" wrapText="1"/>
    </xf>
    <xf numFmtId="0" fontId="8" fillId="4" borderId="4" xfId="0" applyFont="1" applyFill="1" applyBorder="1" applyAlignment="1">
      <alignment vertical="center"/>
    </xf>
    <xf numFmtId="0" fontId="1" fillId="4" borderId="4" xfId="0" applyFont="1" applyFill="1" applyBorder="1"/>
    <xf numFmtId="0" fontId="0" fillId="3" borderId="5" xfId="0" applyFill="1" applyBorder="1"/>
    <xf numFmtId="0" fontId="9" fillId="0" borderId="5" xfId="0" applyFont="1" applyBorder="1" applyAlignment="1">
      <alignment vertical="center" wrapText="1"/>
    </xf>
    <xf numFmtId="0" fontId="0" fillId="3" borderId="5" xfId="0" applyFill="1" applyBorder="1" applyAlignment="1">
      <alignment wrapText="1"/>
    </xf>
    <xf numFmtId="0" fontId="0" fillId="2" borderId="6" xfId="0" applyFill="1" applyBorder="1"/>
    <xf numFmtId="0" fontId="0" fillId="3" borderId="1" xfId="0" applyFill="1" applyBorder="1" applyAlignment="1">
      <alignment vertical="top" wrapText="1"/>
    </xf>
    <xf numFmtId="0" fontId="0" fillId="3" borderId="1" xfId="0" applyFill="1" applyBorder="1" applyAlignment="1">
      <alignment wrapText="1"/>
    </xf>
    <xf numFmtId="0" fontId="2" fillId="5" borderId="4" xfId="0" applyFont="1" applyFill="1" applyBorder="1" applyAlignment="1">
      <alignment vertical="center" wrapText="1"/>
    </xf>
    <xf numFmtId="0" fontId="0" fillId="0" borderId="7" xfId="0" applyBorder="1" applyAlignment="1">
      <alignment horizontal="center" vertical="center"/>
    </xf>
    <xf numFmtId="0" fontId="0" fillId="0" borderId="8" xfId="0" applyBorder="1" applyAlignment="1">
      <alignment horizontal="center" vertical="center"/>
    </xf>
    <xf numFmtId="43" fontId="12" fillId="6" borderId="10" xfId="1" applyFont="1" applyFill="1" applyBorder="1" applyAlignment="1" applyProtection="1">
      <alignment horizontal="center" wrapText="1"/>
      <protection locked="0"/>
    </xf>
    <xf numFmtId="9" fontId="12" fillId="6" borderId="10" xfId="1" applyNumberFormat="1" applyFont="1" applyFill="1" applyBorder="1" applyAlignment="1" applyProtection="1">
      <alignment horizontal="center" wrapText="1"/>
      <protection locked="0"/>
    </xf>
    <xf numFmtId="43" fontId="13" fillId="7" borderId="4" xfId="1" applyFont="1" applyFill="1" applyBorder="1" applyProtection="1">
      <protection locked="0"/>
    </xf>
    <xf numFmtId="43" fontId="13" fillId="7" borderId="4" xfId="1" applyFont="1" applyFill="1" applyBorder="1" applyProtection="1"/>
    <xf numFmtId="43" fontId="14" fillId="8" borderId="4" xfId="1" applyFont="1" applyFill="1" applyBorder="1" applyProtection="1"/>
    <xf numFmtId="9" fontId="14" fillId="8" borderId="4" xfId="2" applyFont="1" applyFill="1" applyBorder="1" applyProtection="1"/>
    <xf numFmtId="43" fontId="14" fillId="8" borderId="4" xfId="1" applyFont="1" applyFill="1" applyBorder="1" applyProtection="1">
      <protection locked="0"/>
    </xf>
    <xf numFmtId="0" fontId="14" fillId="3" borderId="1" xfId="0" applyFont="1" applyFill="1" applyBorder="1" applyProtection="1">
      <protection locked="0"/>
    </xf>
    <xf numFmtId="0" fontId="13" fillId="3" borderId="1" xfId="0" applyFont="1" applyFill="1" applyBorder="1" applyProtection="1">
      <protection locked="0"/>
    </xf>
    <xf numFmtId="43" fontId="15" fillId="8" borderId="4" xfId="1" applyFont="1" applyFill="1" applyBorder="1"/>
    <xf numFmtId="43" fontId="13" fillId="3" borderId="1" xfId="1" applyFont="1" applyFill="1" applyBorder="1" applyProtection="1">
      <protection locked="0"/>
    </xf>
    <xf numFmtId="43" fontId="15" fillId="8" borderId="4" xfId="0" applyNumberFormat="1" applyFont="1" applyFill="1" applyBorder="1"/>
    <xf numFmtId="43" fontId="14" fillId="8" borderId="4" xfId="1" applyFont="1" applyFill="1" applyBorder="1" applyAlignment="1" applyProtection="1">
      <alignment horizontal="center" vertical="center"/>
    </xf>
    <xf numFmtId="43" fontId="14" fillId="8" borderId="4" xfId="1" applyFont="1" applyFill="1" applyBorder="1" applyAlignment="1" applyProtection="1">
      <alignment horizontal="center" vertical="center"/>
      <protection locked="0"/>
    </xf>
    <xf numFmtId="9" fontId="14" fillId="8" borderId="4" xfId="2" applyFont="1" applyFill="1" applyBorder="1" applyAlignment="1" applyProtection="1">
      <alignment horizontal="center" vertical="center"/>
    </xf>
    <xf numFmtId="43" fontId="16" fillId="9" borderId="4" xfId="1" applyFont="1" applyFill="1" applyBorder="1" applyProtection="1"/>
    <xf numFmtId="9" fontId="16" fillId="9" borderId="4" xfId="2" applyFont="1" applyFill="1" applyBorder="1" applyAlignment="1" applyProtection="1">
      <alignment horizontal="center"/>
    </xf>
    <xf numFmtId="43" fontId="16" fillId="9" borderId="4" xfId="1" applyFont="1" applyFill="1" applyBorder="1" applyAlignment="1" applyProtection="1">
      <alignment horizontal="center"/>
    </xf>
    <xf numFmtId="43" fontId="16" fillId="9" borderId="4" xfId="1" applyFont="1" applyFill="1" applyBorder="1" applyAlignment="1" applyProtection="1">
      <alignment horizontal="center"/>
      <protection locked="0"/>
    </xf>
    <xf numFmtId="3" fontId="13" fillId="3" borderId="1" xfId="0" applyNumberFormat="1" applyFont="1" applyFill="1" applyBorder="1" applyAlignment="1" applyProtection="1">
      <alignment horizontal="center" vertical="center"/>
      <protection locked="0"/>
    </xf>
    <xf numFmtId="0" fontId="14" fillId="3" borderId="15" xfId="0" applyFont="1" applyFill="1" applyBorder="1" applyProtection="1">
      <protection locked="0"/>
    </xf>
    <xf numFmtId="0" fontId="13" fillId="7" borderId="4" xfId="0" applyFont="1" applyFill="1" applyBorder="1" applyProtection="1">
      <protection locked="0"/>
    </xf>
    <xf numFmtId="43" fontId="13" fillId="10" borderId="4" xfId="1" applyFont="1" applyFill="1" applyBorder="1" applyProtection="1"/>
    <xf numFmtId="0" fontId="14" fillId="3" borderId="1" xfId="0" applyFont="1" applyFill="1" applyBorder="1" applyAlignment="1" applyProtection="1">
      <alignment horizontal="center" vertical="center"/>
      <protection locked="0"/>
    </xf>
    <xf numFmtId="0" fontId="0" fillId="0" borderId="7" xfId="0" applyBorder="1" applyAlignment="1">
      <alignment horizontal="left" vertical="center"/>
    </xf>
    <xf numFmtId="0" fontId="18" fillId="0" borderId="0" xfId="0" applyFont="1"/>
    <xf numFmtId="0" fontId="19" fillId="0" borderId="0" xfId="0" applyFont="1"/>
    <xf numFmtId="0" fontId="20" fillId="0" borderId="0" xfId="0" applyFont="1"/>
    <xf numFmtId="166" fontId="20" fillId="0" borderId="0" xfId="0" applyNumberFormat="1" applyFont="1"/>
    <xf numFmtId="0" fontId="17" fillId="0" borderId="0" xfId="0" applyFont="1"/>
    <xf numFmtId="167" fontId="0" fillId="0" borderId="0" xfId="0" applyNumberFormat="1"/>
    <xf numFmtId="0" fontId="22" fillId="11" borderId="0" xfId="0" applyFont="1" applyFill="1" applyAlignment="1">
      <alignment wrapText="1"/>
    </xf>
    <xf numFmtId="1" fontId="13" fillId="0" borderId="0" xfId="0" applyNumberFormat="1" applyFont="1"/>
    <xf numFmtId="0" fontId="13" fillId="0" borderId="0" xfId="0" applyFont="1"/>
    <xf numFmtId="165" fontId="13" fillId="0" borderId="0" xfId="0" applyNumberFormat="1" applyFont="1"/>
    <xf numFmtId="166" fontId="13" fillId="0" borderId="0" xfId="0" applyNumberFormat="1" applyFont="1"/>
    <xf numFmtId="0" fontId="23" fillId="0" borderId="0" xfId="0" applyFont="1"/>
    <xf numFmtId="9" fontId="23" fillId="0" borderId="0" xfId="0" applyNumberFormat="1" applyFont="1"/>
    <xf numFmtId="167" fontId="13" fillId="0" borderId="0" xfId="0" applyNumberFormat="1" applyFont="1"/>
    <xf numFmtId="4" fontId="14" fillId="8" borderId="4" xfId="1" applyNumberFormat="1" applyFont="1" applyFill="1" applyBorder="1" applyProtection="1">
      <protection locked="0"/>
    </xf>
    <xf numFmtId="4" fontId="24" fillId="8" borderId="4" xfId="1" applyNumberFormat="1" applyFont="1" applyFill="1" applyBorder="1" applyAlignment="1" applyProtection="1">
      <alignment horizontal="center" vertical="center"/>
      <protection locked="0"/>
    </xf>
    <xf numFmtId="4" fontId="16" fillId="9" borderId="4" xfId="1" applyNumberFormat="1" applyFont="1" applyFill="1" applyBorder="1" applyProtection="1">
      <protection locked="0"/>
    </xf>
    <xf numFmtId="0" fontId="3" fillId="12" borderId="4" xfId="0" applyFont="1" applyFill="1" applyBorder="1" applyAlignment="1">
      <alignment vertical="center"/>
    </xf>
    <xf numFmtId="0" fontId="3" fillId="12" borderId="4" xfId="0" applyFont="1" applyFill="1" applyBorder="1" applyAlignment="1">
      <alignment wrapText="1"/>
    </xf>
    <xf numFmtId="0" fontId="0" fillId="12" borderId="8" xfId="0" applyFill="1" applyBorder="1" applyAlignment="1">
      <alignment horizontal="center" vertical="center"/>
    </xf>
    <xf numFmtId="0" fontId="2" fillId="12" borderId="4" xfId="0" applyFont="1" applyFill="1" applyBorder="1" applyAlignment="1">
      <alignment horizontal="left" vertical="center"/>
    </xf>
    <xf numFmtId="3" fontId="2" fillId="12" borderId="4" xfId="0" applyNumberFormat="1" applyFont="1" applyFill="1" applyBorder="1" applyAlignment="1">
      <alignment horizontal="left" vertical="center"/>
    </xf>
    <xf numFmtId="9" fontId="2" fillId="12" borderId="4" xfId="0" applyNumberFormat="1" applyFont="1" applyFill="1" applyBorder="1" applyAlignment="1">
      <alignment horizontal="center" vertical="center"/>
    </xf>
    <xf numFmtId="43" fontId="14" fillId="12" borderId="4" xfId="1" applyFont="1" applyFill="1" applyBorder="1" applyAlignment="1" applyProtection="1">
      <alignment horizontal="center" vertical="center"/>
    </xf>
    <xf numFmtId="4" fontId="24" fillId="12" borderId="4" xfId="1" applyNumberFormat="1" applyFont="1" applyFill="1" applyBorder="1" applyAlignment="1" applyProtection="1">
      <alignment horizontal="center" vertical="center"/>
      <protection locked="0"/>
    </xf>
    <xf numFmtId="9" fontId="14" fillId="12" borderId="4" xfId="2" applyFont="1" applyFill="1" applyBorder="1" applyAlignment="1" applyProtection="1">
      <alignment horizontal="center" vertical="center"/>
    </xf>
    <xf numFmtId="43" fontId="14" fillId="12" borderId="4" xfId="1" applyFont="1" applyFill="1" applyBorder="1" applyAlignment="1" applyProtection="1">
      <alignment horizontal="center" vertical="center"/>
      <protection locked="0"/>
    </xf>
    <xf numFmtId="0" fontId="21" fillId="11" borderId="0" xfId="0" applyFont="1" applyFill="1"/>
    <xf numFmtId="168" fontId="20" fillId="0" borderId="0" xfId="0" applyNumberFormat="1" applyFont="1"/>
    <xf numFmtId="168" fontId="0" fillId="0" borderId="0" xfId="0" applyNumberFormat="1"/>
    <xf numFmtId="168" fontId="17" fillId="0" borderId="0" xfId="0" applyNumberFormat="1" applyFont="1"/>
    <xf numFmtId="0" fontId="0" fillId="0" borderId="17" xfId="0" applyBorder="1"/>
    <xf numFmtId="169" fontId="0" fillId="0" borderId="17" xfId="0" applyNumberFormat="1" applyBorder="1"/>
    <xf numFmtId="170" fontId="2" fillId="0" borderId="4" xfId="0" applyNumberFormat="1" applyFont="1" applyBorder="1" applyAlignment="1">
      <alignment horizontal="left" vertical="center"/>
    </xf>
    <xf numFmtId="0" fontId="3" fillId="2" borderId="4" xfId="0" applyFont="1" applyFill="1" applyBorder="1" applyAlignment="1">
      <alignment horizontal="left"/>
    </xf>
    <xf numFmtId="0" fontId="8" fillId="4" borderId="4" xfId="0" applyFont="1" applyFill="1" applyBorder="1" applyAlignment="1">
      <alignment horizontal="left" vertical="center"/>
    </xf>
    <xf numFmtId="43" fontId="12" fillId="6" borderId="16" xfId="1" applyFont="1" applyFill="1" applyBorder="1" applyAlignment="1" applyProtection="1">
      <alignment horizontal="center" wrapText="1"/>
    </xf>
    <xf numFmtId="43" fontId="12" fillId="6" borderId="0" xfId="1" applyFont="1" applyFill="1" applyBorder="1" applyAlignment="1" applyProtection="1">
      <alignment horizontal="center" wrapText="1"/>
    </xf>
    <xf numFmtId="0" fontId="7" fillId="4" borderId="0" xfId="0" applyFont="1" applyFill="1" applyAlignment="1">
      <alignment horizontal="center" vertical="center"/>
    </xf>
    <xf numFmtId="0" fontId="7" fillId="4" borderId="3" xfId="0" applyFont="1" applyFill="1" applyBorder="1" applyAlignment="1">
      <alignment horizontal="center" vertical="center"/>
    </xf>
    <xf numFmtId="3" fontId="5" fillId="3" borderId="1" xfId="0" applyNumberFormat="1" applyFont="1" applyFill="1" applyBorder="1" applyAlignment="1">
      <alignment horizontal="center"/>
    </xf>
    <xf numFmtId="0" fontId="3" fillId="2" borderId="2" xfId="0" applyFont="1" applyFill="1" applyBorder="1" applyAlignment="1">
      <alignment horizontal="left"/>
    </xf>
    <xf numFmtId="0" fontId="6" fillId="4" borderId="4" xfId="0" applyFont="1" applyFill="1" applyBorder="1" applyAlignment="1">
      <alignment horizontal="left"/>
    </xf>
    <xf numFmtId="3" fontId="2" fillId="0" borderId="6" xfId="0" applyNumberFormat="1" applyFont="1" applyBorder="1" applyAlignment="1">
      <alignment horizontal="center" vertical="top" wrapText="1"/>
    </xf>
    <xf numFmtId="3" fontId="2" fillId="0" borderId="9" xfId="0" applyNumberFormat="1" applyFont="1" applyBorder="1" applyAlignment="1">
      <alignment horizontal="center" vertical="top" wrapText="1"/>
    </xf>
    <xf numFmtId="3" fontId="2" fillId="0" borderId="10" xfId="0" applyNumberFormat="1" applyFont="1" applyBorder="1" applyAlignment="1">
      <alignment horizontal="center" vertical="top" wrapText="1"/>
    </xf>
    <xf numFmtId="0" fontId="0" fillId="3" borderId="11" xfId="0" applyFill="1" applyBorder="1" applyAlignment="1">
      <alignment horizontal="center" wrapText="1"/>
    </xf>
    <xf numFmtId="0" fontId="0" fillId="3" borderId="12" xfId="0" applyFill="1" applyBorder="1" applyAlignment="1">
      <alignment horizontal="center" wrapText="1"/>
    </xf>
    <xf numFmtId="0" fontId="0" fillId="3" borderId="13" xfId="0" applyFill="1" applyBorder="1" applyAlignment="1">
      <alignment horizontal="center" wrapText="1"/>
    </xf>
    <xf numFmtId="0" fontId="0" fillId="3" borderId="2" xfId="0" applyFill="1" applyBorder="1" applyAlignment="1">
      <alignment horizontal="center" wrapText="1"/>
    </xf>
    <xf numFmtId="0" fontId="0" fillId="3" borderId="14" xfId="0" applyFill="1" applyBorder="1" applyAlignment="1">
      <alignment horizontal="center" wrapText="1"/>
    </xf>
    <xf numFmtId="0" fontId="0" fillId="3" borderId="15" xfId="0" applyFill="1" applyBorder="1" applyAlignment="1">
      <alignment horizontal="center" wrapText="1"/>
    </xf>
  </cellXfs>
  <cellStyles count="3">
    <cellStyle name="Comma" xfId="1" builtinId="3"/>
    <cellStyle name="Normal" xfId="0" builtinId="0"/>
    <cellStyle name="Percent" xfId="2" builtinId="5"/>
  </cellStyles>
  <dxfs count="1">
    <dxf>
      <fill>
        <patternFill patternType="solid">
          <fgColor indexed="64"/>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RC/Partnership%20Documents/Annex_4.4_Partners_Budget_Template.xlsx" TargetMode="External"/><Relationship Id="rId2" Type="http://schemas.openxmlformats.org/officeDocument/2006/relationships/externalLinkPath" Target="https://d.docs.live.net/39791aa7b2a4add3/Abbassi/DRC/Partnership%20Documents/Annex_4.4_Partners_Budget_Template.xlsx" TargetMode="External"/><Relationship Id="rId1" Type="http://schemas.openxmlformats.org/officeDocument/2006/relationships/externalLinkPath" Target="/39791aa7b2a4add3/Abbassi/DRC/Partnership%20Documents/Annex_4.4_Partners_Budget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5"/>
      <sheetName val="BUDGET"/>
      <sheetName val="Project Salary Sheet"/>
      <sheetName val="Spending Plan"/>
      <sheetName val="Salary Spending Plan"/>
    </sheetNames>
    <sheetDataSet>
      <sheetData sheetId="0"/>
      <sheetData sheetId="1">
        <row r="6">
          <cell r="N6" t="str">
            <v>Start Date</v>
          </cell>
        </row>
        <row r="7">
          <cell r="N7"/>
        </row>
        <row r="8">
          <cell r="N8" t="str">
            <v>Milestone 4</v>
          </cell>
        </row>
        <row r="9">
          <cell r="N9"/>
        </row>
        <row r="10">
          <cell r="N10">
            <v>0</v>
          </cell>
        </row>
        <row r="11">
          <cell r="N11">
            <v>0</v>
          </cell>
        </row>
        <row r="12">
          <cell r="N12">
            <v>0</v>
          </cell>
        </row>
        <row r="13">
          <cell r="N13">
            <v>0</v>
          </cell>
        </row>
        <row r="14">
          <cell r="N14">
            <v>0</v>
          </cell>
        </row>
        <row r="15">
          <cell r="N15">
            <v>0</v>
          </cell>
        </row>
        <row r="16">
          <cell r="N16">
            <v>0</v>
          </cell>
        </row>
        <row r="17">
          <cell r="N17">
            <v>0</v>
          </cell>
        </row>
        <row r="18">
          <cell r="N18">
            <v>0</v>
          </cell>
        </row>
        <row r="19">
          <cell r="N19">
            <v>0</v>
          </cell>
        </row>
        <row r="20">
          <cell r="N20">
            <v>0</v>
          </cell>
        </row>
        <row r="21">
          <cell r="N21">
            <v>0</v>
          </cell>
        </row>
        <row r="22">
          <cell r="N22">
            <v>0</v>
          </cell>
        </row>
        <row r="23">
          <cell r="N23">
            <v>0</v>
          </cell>
        </row>
        <row r="24">
          <cell r="N24">
            <v>0</v>
          </cell>
        </row>
        <row r="25">
          <cell r="N25">
            <v>0</v>
          </cell>
        </row>
      </sheetData>
      <sheetData sheetId="2"/>
      <sheetData sheetId="3"/>
      <sheetData sheetId="4"/>
    </sheetDataSet>
  </externalBook>
</externalLink>
</file>

<file path=xl/persons/person.xml><?xml version="1.0" encoding="utf-8"?>
<personList xmlns="http://schemas.microsoft.com/office/spreadsheetml/2018/threadedcomments" xmlns:x="http://schemas.openxmlformats.org/spreadsheetml/2006/main">
  <person displayName="Bilal Abbassi" id="{2D1ED22B-880D-460A-8DC2-778D69BF5191}" userId="39791aa7b2a4add3"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50" dT="2026-09-24T10:08:49.43" personId="{2D1ED22B-880D-460A-8DC2-778D69BF5191}" id="{54E87964-B968-4A02-AC71-30D70AD6DD49}">
    <text>Source: Restricted Donations Income - Qatar Charity.xlsx (GL 400002, MISC/2025/09/0001, 2025-09-16), uploaded 2026-09-24.</text>
  </threadedComment>
</ThreadedComments>
</file>

<file path=xl/threadedComments/threadedComment2.xml><?xml version="1.0" encoding="utf-8"?>
<ThreadedComments xmlns="http://schemas.microsoft.com/office/spreadsheetml/2018/threadedcomments" xmlns:x="http://schemas.openxmlformats.org/spreadsheetml/2006/main">
  <threadedComment ref="A7" dT="2026-09-24T10:02:54.18" personId="{2D1ED22B-880D-460A-8DC2-778D69BF5191}" id="{AF602721-CC5A-4D74-B615-83E561AE5D94}">
    <text>Source: Restoring Hope Association GL exports (Project Staff Salaries, Goods in Transit, Materials &amp; Supplies – Projects, Project Expense, Transportation – Projects, Transportation Exp, Advertising &amp; Digital Services, Printing &amp; Visibility – Projects, Patient Consultation Expenses, Professional Fees, Office Supplies &amp; Stationery, Warehouse Expenses) and TB Qatar Charity, period 01/01/2025–09/30/2026, uploaded 2026-09-24. Duplicate '(2)' files excluded. Descriptions condensed.</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7465205-D72E-4290-B562-AAF52CD7C1B9}">
  <we:reference id="wa200010725" version="1.0.0.1" store="en-US" storeType="OMEX"/>
  <we:alternateReferences>
    <we:reference id="WA200010725" version="1.0.0.1" store="" storeType="OMEX"/>
  </we:alternateReferences>
  <we:properties>
    <we:property name="claude.fileId" value="&quot;84a7abf9-faa4-4428-8c23-055ab1890e5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D53C8-C764-4692-BD4F-5EB784FE8BEB}">
  <dimension ref="A1:MD940"/>
  <sheetViews>
    <sheetView topLeftCell="C1" zoomScale="70" zoomScaleNormal="70" workbookViewId="0">
      <selection activeCell="O27" sqref="O27"/>
    </sheetView>
  </sheetViews>
  <sheetFormatPr defaultRowHeight="15" x14ac:dyDescent="0.25"/>
  <cols>
    <col min="1" max="1" width="13.140625" bestFit="1" customWidth="1"/>
    <col min="2" max="2" width="20.28515625" bestFit="1" customWidth="1"/>
    <col min="3" max="3" width="44.7109375" customWidth="1"/>
    <col min="4" max="4" width="19.42578125" bestFit="1" customWidth="1"/>
    <col min="8" max="8" width="10.5703125" bestFit="1" customWidth="1"/>
    <col min="9" max="9" width="39.85546875" bestFit="1" customWidth="1"/>
    <col min="10" max="10" width="12.7109375" bestFit="1" customWidth="1"/>
    <col min="11" max="11" width="13.85546875" bestFit="1" customWidth="1"/>
    <col min="12" max="12" width="13.5703125" bestFit="1" customWidth="1"/>
    <col min="13" max="13" width="59.140625" style="1" customWidth="1"/>
    <col min="14" max="14" width="30.5703125" style="1" customWidth="1"/>
    <col min="15" max="15" width="43.42578125" style="1" customWidth="1"/>
    <col min="16" max="16" width="56.42578125" style="1" customWidth="1"/>
    <col min="17" max="342" width="8.7109375" style="1"/>
  </cols>
  <sheetData>
    <row r="1" spans="1:15" ht="16.5" x14ac:dyDescent="0.3">
      <c r="A1" s="8"/>
      <c r="B1" s="8"/>
      <c r="C1" s="8"/>
      <c r="D1" s="100" t="s">
        <v>58</v>
      </c>
      <c r="E1" s="100"/>
      <c r="F1" s="100"/>
      <c r="G1" s="100"/>
      <c r="H1" s="100"/>
      <c r="I1" s="8"/>
      <c r="J1" s="8"/>
      <c r="K1" s="8"/>
      <c r="L1" s="8"/>
    </row>
    <row r="2" spans="1:15" x14ac:dyDescent="0.25">
      <c r="A2" s="2" t="s">
        <v>8</v>
      </c>
      <c r="B2" s="3" t="s">
        <v>63</v>
      </c>
      <c r="C2" t="s">
        <v>61</v>
      </c>
      <c r="D2" s="100"/>
      <c r="E2" s="100"/>
      <c r="F2" s="100"/>
      <c r="G2" s="100"/>
      <c r="H2" s="100"/>
      <c r="I2" s="2" t="s">
        <v>41</v>
      </c>
      <c r="J2" s="5">
        <v>921200</v>
      </c>
      <c r="K2" s="102" t="s">
        <v>60</v>
      </c>
      <c r="L2" s="102"/>
    </row>
    <row r="3" spans="1:15" x14ac:dyDescent="0.25">
      <c r="A3" s="4" t="s">
        <v>9</v>
      </c>
      <c r="B3" s="4" t="s">
        <v>62</v>
      </c>
      <c r="C3" t="s">
        <v>59</v>
      </c>
      <c r="D3" s="101"/>
      <c r="E3" s="101"/>
      <c r="F3" s="101"/>
      <c r="G3" s="101"/>
      <c r="H3" s="101"/>
      <c r="I3" s="4" t="s">
        <v>10</v>
      </c>
      <c r="J3" s="6">
        <f>J2-L40</f>
        <v>25.991000000038184</v>
      </c>
      <c r="K3" s="102" t="s">
        <v>60</v>
      </c>
      <c r="L3" s="102"/>
    </row>
    <row r="4" spans="1:15" ht="15.75" x14ac:dyDescent="0.3">
      <c r="A4" s="7" t="s">
        <v>6</v>
      </c>
      <c r="B4" s="7" t="s">
        <v>24</v>
      </c>
      <c r="C4" s="7" t="s">
        <v>0</v>
      </c>
      <c r="D4" s="7" t="s">
        <v>1</v>
      </c>
      <c r="E4" s="7" t="s">
        <v>2</v>
      </c>
      <c r="F4" s="7" t="s">
        <v>3</v>
      </c>
      <c r="G4" s="7" t="s">
        <v>4</v>
      </c>
      <c r="H4" s="7" t="s">
        <v>5</v>
      </c>
      <c r="I4" s="7" t="s">
        <v>45</v>
      </c>
      <c r="J4" s="7" t="s">
        <v>7</v>
      </c>
      <c r="K4" s="7" t="s">
        <v>42</v>
      </c>
      <c r="L4" s="7" t="s">
        <v>43</v>
      </c>
      <c r="M4" s="7" t="s">
        <v>73</v>
      </c>
      <c r="N4" s="7" t="s">
        <v>78</v>
      </c>
    </row>
    <row r="5" spans="1:15" ht="15.75" x14ac:dyDescent="0.3">
      <c r="A5" s="103"/>
      <c r="B5" s="103"/>
      <c r="C5" s="103"/>
      <c r="D5" s="103"/>
      <c r="E5" s="103"/>
      <c r="F5" s="103"/>
      <c r="G5" s="103"/>
      <c r="H5" s="103"/>
      <c r="I5" s="103"/>
      <c r="J5" s="103"/>
      <c r="K5" s="103"/>
      <c r="L5" s="103"/>
      <c r="M5" s="9"/>
      <c r="N5" s="9"/>
    </row>
    <row r="6" spans="1:15" ht="15.75" hidden="1" x14ac:dyDescent="0.3">
      <c r="A6" s="10" t="s">
        <v>12</v>
      </c>
      <c r="B6" s="10" t="s">
        <v>25</v>
      </c>
      <c r="C6" s="10" t="s">
        <v>27</v>
      </c>
      <c r="D6" s="10" t="s">
        <v>38</v>
      </c>
      <c r="E6" s="11">
        <v>1</v>
      </c>
      <c r="F6" s="11">
        <v>12</v>
      </c>
      <c r="G6" s="11" t="s">
        <v>39</v>
      </c>
      <c r="H6" s="12">
        <v>3500</v>
      </c>
      <c r="I6" s="13">
        <v>0</v>
      </c>
      <c r="J6" s="12">
        <f>E6*F6*H6*I6</f>
        <v>0</v>
      </c>
      <c r="K6" s="12">
        <f>J6*1.23</f>
        <v>0</v>
      </c>
      <c r="L6" s="12">
        <f>J6*1.41</f>
        <v>0</v>
      </c>
      <c r="M6" s="12"/>
      <c r="N6" s="12"/>
      <c r="O6" s="14"/>
    </row>
    <row r="7" spans="1:15" ht="15.75" hidden="1" x14ac:dyDescent="0.3">
      <c r="A7" s="10" t="s">
        <v>13</v>
      </c>
      <c r="B7" s="10" t="s">
        <v>26</v>
      </c>
      <c r="C7" s="10" t="s">
        <v>28</v>
      </c>
      <c r="D7" s="10" t="s">
        <v>38</v>
      </c>
      <c r="E7" s="11">
        <v>1</v>
      </c>
      <c r="F7" s="11">
        <v>12</v>
      </c>
      <c r="G7" s="11" t="s">
        <v>39</v>
      </c>
      <c r="H7" s="12">
        <v>2100</v>
      </c>
      <c r="I7" s="13">
        <v>0</v>
      </c>
      <c r="J7" s="12">
        <f t="shared" ref="J7:J17" si="0">E7*F7*H7*I7</f>
        <v>0</v>
      </c>
      <c r="K7" s="12">
        <f t="shared" ref="K7:K18" si="1">J7*1.23</f>
        <v>0</v>
      </c>
      <c r="L7" s="12">
        <f t="shared" ref="L7:L18" si="2">J7*1.41</f>
        <v>0</v>
      </c>
      <c r="M7" s="12"/>
      <c r="N7" s="12"/>
      <c r="O7" s="14"/>
    </row>
    <row r="8" spans="1:15" ht="15.75" hidden="1" x14ac:dyDescent="0.3">
      <c r="A8" s="10" t="s">
        <v>14</v>
      </c>
      <c r="B8" s="10" t="s">
        <v>25</v>
      </c>
      <c r="C8" s="10" t="s">
        <v>29</v>
      </c>
      <c r="D8" s="10" t="s">
        <v>38</v>
      </c>
      <c r="E8" s="11">
        <v>1</v>
      </c>
      <c r="F8" s="11">
        <v>12</v>
      </c>
      <c r="G8" s="11" t="s">
        <v>39</v>
      </c>
      <c r="H8" s="12">
        <v>1200</v>
      </c>
      <c r="I8" s="13">
        <v>0</v>
      </c>
      <c r="J8" s="12">
        <f t="shared" si="0"/>
        <v>0</v>
      </c>
      <c r="K8" s="12">
        <f t="shared" si="1"/>
        <v>0</v>
      </c>
      <c r="L8" s="12">
        <f t="shared" si="2"/>
        <v>0</v>
      </c>
      <c r="M8" s="12"/>
      <c r="N8" s="12"/>
      <c r="O8" s="14"/>
    </row>
    <row r="9" spans="1:15" ht="15.75" hidden="1" x14ac:dyDescent="0.3">
      <c r="A9" s="10" t="s">
        <v>15</v>
      </c>
      <c r="B9" s="10" t="s">
        <v>26</v>
      </c>
      <c r="C9" s="10" t="s">
        <v>30</v>
      </c>
      <c r="D9" s="10" t="s">
        <v>38</v>
      </c>
      <c r="E9" s="11">
        <v>1</v>
      </c>
      <c r="F9" s="11">
        <v>12</v>
      </c>
      <c r="G9" s="11" t="s">
        <v>39</v>
      </c>
      <c r="H9" s="12">
        <v>700</v>
      </c>
      <c r="I9" s="13">
        <v>0</v>
      </c>
      <c r="J9" s="12">
        <f t="shared" si="0"/>
        <v>0</v>
      </c>
      <c r="K9" s="12">
        <f t="shared" si="1"/>
        <v>0</v>
      </c>
      <c r="L9" s="12">
        <f t="shared" si="2"/>
        <v>0</v>
      </c>
      <c r="M9" s="12"/>
      <c r="N9" s="12"/>
      <c r="O9" s="14"/>
    </row>
    <row r="10" spans="1:15" ht="15.75" hidden="1" x14ac:dyDescent="0.3">
      <c r="A10" s="10" t="s">
        <v>16</v>
      </c>
      <c r="B10" s="10" t="s">
        <v>26</v>
      </c>
      <c r="C10" s="10" t="s">
        <v>30</v>
      </c>
      <c r="D10" s="10" t="s">
        <v>38</v>
      </c>
      <c r="E10" s="11">
        <v>1</v>
      </c>
      <c r="F10" s="11">
        <v>12</v>
      </c>
      <c r="G10" s="11" t="s">
        <v>39</v>
      </c>
      <c r="H10" s="12">
        <v>700</v>
      </c>
      <c r="I10" s="13">
        <v>0</v>
      </c>
      <c r="J10" s="12">
        <f t="shared" si="0"/>
        <v>0</v>
      </c>
      <c r="K10" s="12">
        <f t="shared" si="1"/>
        <v>0</v>
      </c>
      <c r="L10" s="12">
        <f t="shared" si="2"/>
        <v>0</v>
      </c>
      <c r="M10" s="12"/>
      <c r="N10" s="12"/>
      <c r="O10" s="14"/>
    </row>
    <row r="11" spans="1:15" ht="15.75" hidden="1" x14ac:dyDescent="0.3">
      <c r="A11" s="10" t="s">
        <v>17</v>
      </c>
      <c r="B11" s="10" t="s">
        <v>25</v>
      </c>
      <c r="C11" s="10" t="s">
        <v>31</v>
      </c>
      <c r="D11" s="10" t="s">
        <v>38</v>
      </c>
      <c r="E11" s="11">
        <v>1</v>
      </c>
      <c r="F11" s="11">
        <v>12</v>
      </c>
      <c r="G11" s="11" t="s">
        <v>39</v>
      </c>
      <c r="H11" s="12">
        <v>1500</v>
      </c>
      <c r="I11" s="13">
        <v>0</v>
      </c>
      <c r="J11" s="12">
        <f t="shared" si="0"/>
        <v>0</v>
      </c>
      <c r="K11" s="12">
        <f t="shared" si="1"/>
        <v>0</v>
      </c>
      <c r="L11" s="12">
        <f t="shared" si="2"/>
        <v>0</v>
      </c>
      <c r="M11" s="12"/>
      <c r="N11" s="12"/>
      <c r="O11" s="14"/>
    </row>
    <row r="12" spans="1:15" ht="15.75" hidden="1" x14ac:dyDescent="0.3">
      <c r="A12" s="10" t="s">
        <v>18</v>
      </c>
      <c r="B12" s="10" t="s">
        <v>25</v>
      </c>
      <c r="C12" s="10" t="s">
        <v>32</v>
      </c>
      <c r="D12" s="10" t="s">
        <v>38</v>
      </c>
      <c r="E12" s="11">
        <v>1</v>
      </c>
      <c r="F12" s="11">
        <v>12</v>
      </c>
      <c r="G12" s="11" t="s">
        <v>39</v>
      </c>
      <c r="H12" s="12">
        <v>3500</v>
      </c>
      <c r="I12" s="13">
        <v>0</v>
      </c>
      <c r="J12" s="12">
        <f t="shared" si="0"/>
        <v>0</v>
      </c>
      <c r="K12" s="12">
        <f t="shared" si="1"/>
        <v>0</v>
      </c>
      <c r="L12" s="12">
        <f t="shared" si="2"/>
        <v>0</v>
      </c>
      <c r="M12" s="12"/>
      <c r="N12" s="12"/>
      <c r="O12" s="14"/>
    </row>
    <row r="13" spans="1:15" ht="15.75" hidden="1" x14ac:dyDescent="0.3">
      <c r="A13" s="10" t="s">
        <v>19</v>
      </c>
      <c r="B13" s="10" t="s">
        <v>25</v>
      </c>
      <c r="C13" s="10" t="s">
        <v>33</v>
      </c>
      <c r="D13" s="10" t="s">
        <v>38</v>
      </c>
      <c r="E13" s="11">
        <v>1</v>
      </c>
      <c r="F13" s="11">
        <v>12</v>
      </c>
      <c r="G13" s="11" t="s">
        <v>39</v>
      </c>
      <c r="H13" s="12">
        <v>550</v>
      </c>
      <c r="I13" s="13">
        <v>0</v>
      </c>
      <c r="J13" s="12">
        <f t="shared" si="0"/>
        <v>0</v>
      </c>
      <c r="K13" s="12">
        <f t="shared" si="1"/>
        <v>0</v>
      </c>
      <c r="L13" s="12">
        <f t="shared" si="2"/>
        <v>0</v>
      </c>
      <c r="M13" s="12"/>
      <c r="N13" s="12"/>
      <c r="O13" s="14"/>
    </row>
    <row r="14" spans="1:15" ht="15.75" hidden="1" x14ac:dyDescent="0.3">
      <c r="A14" s="10" t="s">
        <v>20</v>
      </c>
      <c r="B14" s="10" t="s">
        <v>25</v>
      </c>
      <c r="C14" s="10" t="s">
        <v>34</v>
      </c>
      <c r="D14" s="10" t="s">
        <v>38</v>
      </c>
      <c r="E14" s="11">
        <v>1</v>
      </c>
      <c r="F14" s="11">
        <v>12</v>
      </c>
      <c r="G14" s="11" t="s">
        <v>39</v>
      </c>
      <c r="H14" s="12">
        <v>300</v>
      </c>
      <c r="I14" s="13">
        <v>0</v>
      </c>
      <c r="J14" s="12">
        <f t="shared" si="0"/>
        <v>0</v>
      </c>
      <c r="K14" s="12">
        <f t="shared" si="1"/>
        <v>0</v>
      </c>
      <c r="L14" s="12">
        <f t="shared" si="2"/>
        <v>0</v>
      </c>
      <c r="M14" s="12"/>
      <c r="N14" s="12"/>
      <c r="O14" s="14"/>
    </row>
    <row r="15" spans="1:15" ht="15.75" hidden="1" x14ac:dyDescent="0.3">
      <c r="A15" s="10" t="s">
        <v>21</v>
      </c>
      <c r="B15" s="10" t="s">
        <v>25</v>
      </c>
      <c r="C15" s="10" t="s">
        <v>35</v>
      </c>
      <c r="D15" s="10" t="s">
        <v>38</v>
      </c>
      <c r="E15" s="11">
        <v>1</v>
      </c>
      <c r="F15" s="11">
        <v>12</v>
      </c>
      <c r="G15" s="11" t="s">
        <v>39</v>
      </c>
      <c r="H15" s="12">
        <v>900</v>
      </c>
      <c r="I15" s="13">
        <v>0</v>
      </c>
      <c r="J15" s="12">
        <f t="shared" si="0"/>
        <v>0</v>
      </c>
      <c r="K15" s="12">
        <f t="shared" si="1"/>
        <v>0</v>
      </c>
      <c r="L15" s="12">
        <f t="shared" si="2"/>
        <v>0</v>
      </c>
      <c r="M15" s="12"/>
      <c r="N15" s="12"/>
      <c r="O15" s="14"/>
    </row>
    <row r="16" spans="1:15" ht="15.75" hidden="1" x14ac:dyDescent="0.3">
      <c r="A16" s="10" t="s">
        <v>22</v>
      </c>
      <c r="B16" s="10" t="s">
        <v>25</v>
      </c>
      <c r="C16" s="10" t="s">
        <v>36</v>
      </c>
      <c r="D16" s="10" t="s">
        <v>40</v>
      </c>
      <c r="E16" s="11">
        <v>1</v>
      </c>
      <c r="F16" s="11">
        <v>1</v>
      </c>
      <c r="G16" s="11" t="s">
        <v>39</v>
      </c>
      <c r="H16" s="12">
        <v>10000</v>
      </c>
      <c r="I16" s="13">
        <v>0</v>
      </c>
      <c r="J16" s="12">
        <f t="shared" si="0"/>
        <v>0</v>
      </c>
      <c r="K16" s="12">
        <f t="shared" si="1"/>
        <v>0</v>
      </c>
      <c r="L16" s="12">
        <f t="shared" si="2"/>
        <v>0</v>
      </c>
      <c r="M16" s="12"/>
      <c r="N16" s="12"/>
      <c r="O16" s="14"/>
    </row>
    <row r="17" spans="1:16" ht="15.75" hidden="1" x14ac:dyDescent="0.3">
      <c r="A17" s="10" t="s">
        <v>23</v>
      </c>
      <c r="B17" s="10" t="s">
        <v>25</v>
      </c>
      <c r="C17" s="10" t="s">
        <v>37</v>
      </c>
      <c r="D17" s="10" t="s">
        <v>40</v>
      </c>
      <c r="E17" s="11">
        <v>1</v>
      </c>
      <c r="F17" s="11">
        <v>1</v>
      </c>
      <c r="G17" s="11" t="s">
        <v>39</v>
      </c>
      <c r="H17" s="12">
        <v>25000</v>
      </c>
      <c r="I17" s="13">
        <v>0</v>
      </c>
      <c r="J17" s="12">
        <f t="shared" si="0"/>
        <v>0</v>
      </c>
      <c r="K17" s="12">
        <f t="shared" si="1"/>
        <v>0</v>
      </c>
      <c r="L17" s="12">
        <f t="shared" si="2"/>
        <v>0</v>
      </c>
      <c r="M17" s="12"/>
      <c r="N17" s="12"/>
      <c r="O17" s="14"/>
    </row>
    <row r="18" spans="1:16" ht="15.75" hidden="1" x14ac:dyDescent="0.3">
      <c r="A18" s="104" t="s">
        <v>44</v>
      </c>
      <c r="B18" s="104"/>
      <c r="C18" s="104"/>
      <c r="D18" s="104"/>
      <c r="E18" s="104"/>
      <c r="F18" s="104"/>
      <c r="G18" s="104"/>
      <c r="H18" s="104"/>
      <c r="I18" s="104"/>
      <c r="J18" s="15">
        <f>SUM(J6:J17)</f>
        <v>0</v>
      </c>
      <c r="K18" s="15">
        <f t="shared" si="1"/>
        <v>0</v>
      </c>
      <c r="L18" s="15">
        <f t="shared" si="2"/>
        <v>0</v>
      </c>
      <c r="M18" s="16"/>
      <c r="N18" s="16"/>
      <c r="O18" s="14"/>
    </row>
    <row r="19" spans="1:16" ht="15.75" hidden="1" x14ac:dyDescent="0.3">
      <c r="A19" s="17" t="s">
        <v>49</v>
      </c>
      <c r="B19" s="17"/>
      <c r="C19" s="17"/>
      <c r="D19" s="17"/>
      <c r="E19" s="17"/>
      <c r="F19" s="17"/>
      <c r="G19" s="17"/>
      <c r="H19" s="17"/>
      <c r="I19" s="17"/>
      <c r="J19" s="18"/>
      <c r="K19" s="18"/>
      <c r="L19" s="18"/>
      <c r="M19" s="19"/>
      <c r="N19" s="19"/>
      <c r="O19" s="14"/>
    </row>
    <row r="20" spans="1:16" ht="15.75" hidden="1" x14ac:dyDescent="0.3">
      <c r="A20" s="20" t="s">
        <v>50</v>
      </c>
      <c r="B20" s="20" t="s">
        <v>25</v>
      </c>
      <c r="C20" s="21" t="s">
        <v>51</v>
      </c>
      <c r="D20" s="22" t="s">
        <v>38</v>
      </c>
      <c r="E20" s="22">
        <v>12</v>
      </c>
      <c r="F20" s="22">
        <v>1</v>
      </c>
      <c r="G20" s="22" t="s">
        <v>39</v>
      </c>
      <c r="H20" s="23">
        <v>2500</v>
      </c>
      <c r="I20" s="24">
        <v>0</v>
      </c>
      <c r="J20" s="22">
        <f>I20*H20*F20*E20</f>
        <v>0</v>
      </c>
      <c r="K20" s="22">
        <f>J20*1.23</f>
        <v>0</v>
      </c>
      <c r="L20" s="23">
        <f>J20*1.41</f>
        <v>0</v>
      </c>
      <c r="M20" s="23"/>
      <c r="N20" s="23"/>
      <c r="O20" s="14"/>
    </row>
    <row r="21" spans="1:16" ht="15.75" hidden="1" x14ac:dyDescent="0.3">
      <c r="A21" s="20" t="s">
        <v>52</v>
      </c>
      <c r="B21" s="20" t="s">
        <v>25</v>
      </c>
      <c r="C21" s="21" t="s">
        <v>53</v>
      </c>
      <c r="D21" s="22" t="s">
        <v>55</v>
      </c>
      <c r="E21" s="22">
        <v>4</v>
      </c>
      <c r="F21" s="22">
        <v>1</v>
      </c>
      <c r="G21" s="22" t="s">
        <v>39</v>
      </c>
      <c r="H21" s="23">
        <v>700</v>
      </c>
      <c r="I21" s="24">
        <v>0</v>
      </c>
      <c r="J21" s="22">
        <f t="shared" ref="J21:J22" si="3">I21*H21*F21*E21</f>
        <v>0</v>
      </c>
      <c r="K21" s="22">
        <f t="shared" ref="K21:K22" si="4">J21*1.23</f>
        <v>0</v>
      </c>
      <c r="L21" s="23">
        <f t="shared" ref="L21:L22" si="5">J21*1.41</f>
        <v>0</v>
      </c>
      <c r="M21" s="23"/>
      <c r="N21" s="23"/>
      <c r="O21" s="14"/>
    </row>
    <row r="22" spans="1:16" ht="15.75" hidden="1" x14ac:dyDescent="0.3">
      <c r="A22" s="20" t="s">
        <v>71</v>
      </c>
      <c r="B22" s="20" t="s">
        <v>26</v>
      </c>
      <c r="C22" s="21" t="s">
        <v>54</v>
      </c>
      <c r="D22" s="22" t="s">
        <v>55</v>
      </c>
      <c r="E22" s="22">
        <v>3</v>
      </c>
      <c r="F22" s="22">
        <v>1</v>
      </c>
      <c r="G22" s="22" t="s">
        <v>39</v>
      </c>
      <c r="H22" s="23">
        <v>700</v>
      </c>
      <c r="I22" s="24">
        <v>0</v>
      </c>
      <c r="J22" s="22">
        <f t="shared" si="3"/>
        <v>0</v>
      </c>
      <c r="K22" s="22">
        <f t="shared" si="4"/>
        <v>0</v>
      </c>
      <c r="L22" s="23">
        <f t="shared" si="5"/>
        <v>0</v>
      </c>
      <c r="M22" s="23"/>
      <c r="N22" s="23"/>
      <c r="O22" s="14"/>
    </row>
    <row r="23" spans="1:16" ht="15.75" hidden="1" x14ac:dyDescent="0.3">
      <c r="A23" s="20" t="s">
        <v>64</v>
      </c>
      <c r="B23" s="20" t="s">
        <v>65</v>
      </c>
      <c r="C23" s="21" t="s">
        <v>66</v>
      </c>
      <c r="D23" s="22" t="s">
        <v>40</v>
      </c>
      <c r="E23" s="22">
        <v>1</v>
      </c>
      <c r="F23" s="22">
        <v>1</v>
      </c>
      <c r="G23" s="22" t="s">
        <v>39</v>
      </c>
      <c r="H23" s="23">
        <v>5000</v>
      </c>
      <c r="I23" s="24">
        <v>0</v>
      </c>
      <c r="J23" s="22">
        <f t="shared" ref="J23" si="6">I23*H23*F23*E23</f>
        <v>0</v>
      </c>
      <c r="K23" s="22">
        <f t="shared" ref="K23" si="7">J23*1.23</f>
        <v>0</v>
      </c>
      <c r="L23" s="23">
        <f t="shared" ref="L23" si="8">J23*1.41</f>
        <v>0</v>
      </c>
      <c r="M23" s="23"/>
      <c r="N23" s="23"/>
      <c r="O23" s="14"/>
    </row>
    <row r="24" spans="1:16" ht="15.75" x14ac:dyDescent="0.3">
      <c r="A24" s="97" t="s">
        <v>56</v>
      </c>
      <c r="B24" s="97"/>
      <c r="C24" s="97"/>
      <c r="D24" s="97"/>
      <c r="E24" s="97"/>
      <c r="F24" s="97"/>
      <c r="G24" s="97"/>
      <c r="H24" s="97"/>
      <c r="I24" s="97"/>
      <c r="J24" s="15">
        <f>SUM(J20:J23)</f>
        <v>0</v>
      </c>
      <c r="K24" s="15">
        <f>SUM(K20:K23)</f>
        <v>0</v>
      </c>
      <c r="L24" s="15">
        <f>SUM(L20:L23)</f>
        <v>0</v>
      </c>
      <c r="M24" s="16"/>
      <c r="N24" s="16"/>
      <c r="O24" s="16"/>
      <c r="P24" s="16"/>
    </row>
    <row r="25" spans="1:16" ht="15.75" x14ac:dyDescent="0.3">
      <c r="A25" s="96" t="s">
        <v>11</v>
      </c>
      <c r="B25" s="96"/>
      <c r="C25" s="96"/>
      <c r="D25" s="96"/>
      <c r="E25" s="96"/>
      <c r="F25" s="96"/>
      <c r="G25" s="96"/>
      <c r="H25" s="96"/>
      <c r="I25" s="96"/>
      <c r="J25" s="96"/>
      <c r="K25" s="96"/>
      <c r="L25" s="96"/>
      <c r="M25" s="19"/>
      <c r="N25" s="19"/>
      <c r="O25" s="19" t="s">
        <v>83</v>
      </c>
      <c r="P25" s="31" t="s">
        <v>90</v>
      </c>
    </row>
    <row r="26" spans="1:16" ht="90" x14ac:dyDescent="0.25">
      <c r="A26" s="20" t="s">
        <v>46</v>
      </c>
      <c r="B26" s="20" t="s">
        <v>26</v>
      </c>
      <c r="C26" s="34" t="s">
        <v>67</v>
      </c>
      <c r="D26" s="22" t="s">
        <v>40</v>
      </c>
      <c r="E26" s="22">
        <v>1</v>
      </c>
      <c r="F26" s="22">
        <v>1</v>
      </c>
      <c r="G26" s="22" t="s">
        <v>39</v>
      </c>
      <c r="H26" s="23">
        <f>446550.9+47822</f>
        <v>494372.9</v>
      </c>
      <c r="I26" s="24">
        <v>1</v>
      </c>
      <c r="J26" s="22">
        <f>I26*H26*F26*E26</f>
        <v>494372.9</v>
      </c>
      <c r="K26" s="22">
        <f>J26*1.23</f>
        <v>608078.66700000002</v>
      </c>
      <c r="L26" s="23">
        <f>J26*1.41</f>
        <v>697065.78899999999</v>
      </c>
      <c r="M26" s="25" t="s">
        <v>74</v>
      </c>
      <c r="N26" s="25" t="s">
        <v>79</v>
      </c>
      <c r="O26" s="28" t="s">
        <v>86</v>
      </c>
      <c r="P26" s="32" t="s">
        <v>94</v>
      </c>
    </row>
    <row r="27" spans="1:16" ht="141.75" x14ac:dyDescent="0.25">
      <c r="A27" s="20" t="s">
        <v>47</v>
      </c>
      <c r="B27" s="20" t="s">
        <v>26</v>
      </c>
      <c r="C27" s="34" t="s">
        <v>69</v>
      </c>
      <c r="D27" s="22" t="s">
        <v>72</v>
      </c>
      <c r="E27" s="22">
        <v>2000</v>
      </c>
      <c r="F27" s="22">
        <v>1</v>
      </c>
      <c r="G27" s="22" t="s">
        <v>39</v>
      </c>
      <c r="H27" s="23">
        <v>18</v>
      </c>
      <c r="I27" s="24">
        <v>1</v>
      </c>
      <c r="J27" s="22">
        <f>I27*H27*F27*E27</f>
        <v>36000</v>
      </c>
      <c r="K27" s="22">
        <f>J27*1.23</f>
        <v>44280</v>
      </c>
      <c r="L27" s="23">
        <f>J27*1.41</f>
        <v>50760</v>
      </c>
      <c r="M27" s="25" t="s">
        <v>75</v>
      </c>
      <c r="N27" s="25" t="s">
        <v>80</v>
      </c>
      <c r="O27" s="29" t="s">
        <v>85</v>
      </c>
      <c r="P27" s="33" t="s">
        <v>91</v>
      </c>
    </row>
    <row r="28" spans="1:16" ht="141.75" x14ac:dyDescent="0.25">
      <c r="A28" s="20" t="s">
        <v>48</v>
      </c>
      <c r="B28" s="20" t="s">
        <v>26</v>
      </c>
      <c r="C28" s="34" t="s">
        <v>70</v>
      </c>
      <c r="D28" s="22" t="s">
        <v>72</v>
      </c>
      <c r="E28" s="22">
        <v>2000</v>
      </c>
      <c r="F28" s="22">
        <v>1</v>
      </c>
      <c r="G28" s="22" t="s">
        <v>39</v>
      </c>
      <c r="H28" s="23">
        <v>18</v>
      </c>
      <c r="I28" s="24">
        <v>1</v>
      </c>
      <c r="J28" s="22">
        <f>I28*H28*F28*E28</f>
        <v>36000</v>
      </c>
      <c r="K28" s="22">
        <f>J28*1.23</f>
        <v>44280</v>
      </c>
      <c r="L28" s="23">
        <f>J28*1.41</f>
        <v>50760</v>
      </c>
      <c r="M28" s="25" t="s">
        <v>76</v>
      </c>
      <c r="N28" s="25" t="s">
        <v>80</v>
      </c>
      <c r="O28" s="30" t="s">
        <v>84</v>
      </c>
      <c r="P28" s="33" t="s">
        <v>91</v>
      </c>
    </row>
    <row r="29" spans="1:16" ht="15.75" x14ac:dyDescent="0.25">
      <c r="A29" s="20" t="s">
        <v>105</v>
      </c>
      <c r="B29" s="20" t="s">
        <v>26</v>
      </c>
      <c r="C29" s="35" t="s">
        <v>95</v>
      </c>
      <c r="D29" s="36" t="s">
        <v>96</v>
      </c>
      <c r="E29" s="22">
        <v>300</v>
      </c>
      <c r="F29" s="22">
        <v>1</v>
      </c>
      <c r="G29" s="22" t="s">
        <v>39</v>
      </c>
      <c r="H29" s="23">
        <v>20</v>
      </c>
      <c r="I29" s="24">
        <v>1</v>
      </c>
      <c r="J29" s="22">
        <f t="shared" ref="J29:J37" si="9">I29*H29*F29*E29</f>
        <v>6000</v>
      </c>
      <c r="K29" s="22">
        <f t="shared" ref="K29:K37" si="10">J29*1.23</f>
        <v>7380</v>
      </c>
      <c r="L29" s="23">
        <f t="shared" ref="L29:L37" si="11">J29*1.41</f>
        <v>8460</v>
      </c>
      <c r="M29" s="105" t="s">
        <v>77</v>
      </c>
      <c r="N29" s="105" t="s">
        <v>81</v>
      </c>
      <c r="O29" s="108" t="s">
        <v>87</v>
      </c>
      <c r="P29" s="111" t="s">
        <v>92</v>
      </c>
    </row>
    <row r="30" spans="1:16" ht="15.75" x14ac:dyDescent="0.3">
      <c r="A30" s="20" t="s">
        <v>106</v>
      </c>
      <c r="B30" s="20" t="s">
        <v>26</v>
      </c>
      <c r="C30" s="21" t="s">
        <v>97</v>
      </c>
      <c r="D30" s="36" t="s">
        <v>96</v>
      </c>
      <c r="E30" s="22">
        <v>200</v>
      </c>
      <c r="F30" s="22">
        <v>1</v>
      </c>
      <c r="G30" s="22" t="s">
        <v>39</v>
      </c>
      <c r="H30" s="23">
        <v>141</v>
      </c>
      <c r="I30" s="24">
        <v>1</v>
      </c>
      <c r="J30" s="22">
        <f t="shared" si="9"/>
        <v>28200</v>
      </c>
      <c r="K30" s="22">
        <f t="shared" si="10"/>
        <v>34686</v>
      </c>
      <c r="L30" s="23">
        <f t="shared" si="11"/>
        <v>39762</v>
      </c>
      <c r="M30" s="106"/>
      <c r="N30" s="106"/>
      <c r="O30" s="109"/>
      <c r="P30" s="112"/>
    </row>
    <row r="31" spans="1:16" ht="15.75" x14ac:dyDescent="0.3">
      <c r="A31" s="20" t="s">
        <v>107</v>
      </c>
      <c r="B31" s="20" t="s">
        <v>26</v>
      </c>
      <c r="C31" s="21" t="s">
        <v>98</v>
      </c>
      <c r="D31" s="36" t="s">
        <v>96</v>
      </c>
      <c r="E31" s="22">
        <v>96</v>
      </c>
      <c r="F31" s="22">
        <v>1</v>
      </c>
      <c r="G31" s="22" t="s">
        <v>39</v>
      </c>
      <c r="H31" s="23">
        <v>142</v>
      </c>
      <c r="I31" s="24">
        <v>1</v>
      </c>
      <c r="J31" s="22">
        <f t="shared" si="9"/>
        <v>13632</v>
      </c>
      <c r="K31" s="22">
        <f t="shared" si="10"/>
        <v>16767.36</v>
      </c>
      <c r="L31" s="23">
        <f t="shared" si="11"/>
        <v>19221.12</v>
      </c>
      <c r="M31" s="106"/>
      <c r="N31" s="106"/>
      <c r="O31" s="109"/>
      <c r="P31" s="112"/>
    </row>
    <row r="32" spans="1:16" ht="15.75" x14ac:dyDescent="0.3">
      <c r="A32" s="20" t="s">
        <v>108</v>
      </c>
      <c r="B32" s="20" t="s">
        <v>26</v>
      </c>
      <c r="C32" s="21" t="s">
        <v>99</v>
      </c>
      <c r="D32" s="36" t="s">
        <v>96</v>
      </c>
      <c r="E32" s="22">
        <v>300</v>
      </c>
      <c r="F32" s="22">
        <v>1</v>
      </c>
      <c r="G32" s="22" t="s">
        <v>39</v>
      </c>
      <c r="H32" s="23">
        <v>30</v>
      </c>
      <c r="I32" s="24">
        <v>1</v>
      </c>
      <c r="J32" s="22">
        <f t="shared" si="9"/>
        <v>9000</v>
      </c>
      <c r="K32" s="22">
        <f t="shared" si="10"/>
        <v>11070</v>
      </c>
      <c r="L32" s="23">
        <f t="shared" si="11"/>
        <v>12690</v>
      </c>
      <c r="M32" s="106"/>
      <c r="N32" s="106"/>
      <c r="O32" s="109"/>
      <c r="P32" s="112"/>
    </row>
    <row r="33" spans="1:16" ht="15.75" x14ac:dyDescent="0.3">
      <c r="A33" s="20" t="s">
        <v>109</v>
      </c>
      <c r="B33" s="20" t="s">
        <v>26</v>
      </c>
      <c r="C33" s="21" t="s">
        <v>100</v>
      </c>
      <c r="D33" s="36" t="s">
        <v>96</v>
      </c>
      <c r="E33" s="22">
        <v>200</v>
      </c>
      <c r="F33" s="22">
        <v>1</v>
      </c>
      <c r="G33" s="22" t="s">
        <v>39</v>
      </c>
      <c r="H33" s="23">
        <v>25</v>
      </c>
      <c r="I33" s="24">
        <v>1</v>
      </c>
      <c r="J33" s="22">
        <f t="shared" si="9"/>
        <v>5000</v>
      </c>
      <c r="K33" s="22">
        <f t="shared" si="10"/>
        <v>6150</v>
      </c>
      <c r="L33" s="23">
        <f t="shared" si="11"/>
        <v>7050</v>
      </c>
      <c r="M33" s="106"/>
      <c r="N33" s="106"/>
      <c r="O33" s="109"/>
      <c r="P33" s="112"/>
    </row>
    <row r="34" spans="1:16" ht="15.75" x14ac:dyDescent="0.3">
      <c r="A34" s="20" t="s">
        <v>110</v>
      </c>
      <c r="B34" s="20" t="s">
        <v>26</v>
      </c>
      <c r="C34" s="21" t="s">
        <v>101</v>
      </c>
      <c r="D34" s="36" t="s">
        <v>96</v>
      </c>
      <c r="E34" s="22">
        <v>30</v>
      </c>
      <c r="F34" s="22">
        <v>1</v>
      </c>
      <c r="G34" s="22" t="s">
        <v>39</v>
      </c>
      <c r="H34" s="23">
        <v>25</v>
      </c>
      <c r="I34" s="24">
        <v>1</v>
      </c>
      <c r="J34" s="22">
        <f t="shared" si="9"/>
        <v>750</v>
      </c>
      <c r="K34" s="22">
        <f t="shared" si="10"/>
        <v>922.5</v>
      </c>
      <c r="L34" s="23">
        <f t="shared" si="11"/>
        <v>1057.5</v>
      </c>
      <c r="M34" s="106"/>
      <c r="N34" s="106"/>
      <c r="O34" s="109"/>
      <c r="P34" s="112"/>
    </row>
    <row r="35" spans="1:16" ht="15.75" x14ac:dyDescent="0.3">
      <c r="A35" s="20" t="s">
        <v>111</v>
      </c>
      <c r="B35" s="20" t="s">
        <v>26</v>
      </c>
      <c r="C35" s="21" t="s">
        <v>102</v>
      </c>
      <c r="D35" s="36" t="s">
        <v>96</v>
      </c>
      <c r="E35" s="22">
        <v>200</v>
      </c>
      <c r="F35" s="22">
        <v>1</v>
      </c>
      <c r="G35" s="22" t="s">
        <v>39</v>
      </c>
      <c r="H35" s="23">
        <v>20</v>
      </c>
      <c r="I35" s="24">
        <v>1</v>
      </c>
      <c r="J35" s="22">
        <f t="shared" si="9"/>
        <v>4000</v>
      </c>
      <c r="K35" s="22">
        <f t="shared" si="10"/>
        <v>4920</v>
      </c>
      <c r="L35" s="23">
        <f t="shared" si="11"/>
        <v>5640</v>
      </c>
      <c r="M35" s="106"/>
      <c r="N35" s="106"/>
      <c r="O35" s="109"/>
      <c r="P35" s="112"/>
    </row>
    <row r="36" spans="1:16" ht="15.75" x14ac:dyDescent="0.3">
      <c r="A36" s="20" t="s">
        <v>112</v>
      </c>
      <c r="B36" s="20" t="s">
        <v>26</v>
      </c>
      <c r="C36" s="21" t="s">
        <v>103</v>
      </c>
      <c r="D36" s="36" t="s">
        <v>96</v>
      </c>
      <c r="E36" s="22">
        <v>600</v>
      </c>
      <c r="F36" s="22">
        <v>1</v>
      </c>
      <c r="G36" s="22" t="s">
        <v>39</v>
      </c>
      <c r="H36" s="23">
        <v>10.7</v>
      </c>
      <c r="I36" s="24">
        <v>1</v>
      </c>
      <c r="J36" s="22">
        <f t="shared" si="9"/>
        <v>6420</v>
      </c>
      <c r="K36" s="22">
        <f t="shared" si="10"/>
        <v>7896.5999999999995</v>
      </c>
      <c r="L36" s="23">
        <f t="shared" si="11"/>
        <v>9052.1999999999989</v>
      </c>
      <c r="M36" s="106"/>
      <c r="N36" s="106"/>
      <c r="O36" s="109"/>
      <c r="P36" s="112"/>
    </row>
    <row r="37" spans="1:16" ht="15.75" x14ac:dyDescent="0.3">
      <c r="A37" s="20" t="s">
        <v>113</v>
      </c>
      <c r="B37" s="20" t="s">
        <v>26</v>
      </c>
      <c r="C37" s="21" t="s">
        <v>104</v>
      </c>
      <c r="D37" s="36" t="s">
        <v>96</v>
      </c>
      <c r="E37" s="22">
        <v>600</v>
      </c>
      <c r="F37" s="22">
        <v>1</v>
      </c>
      <c r="G37" s="22" t="s">
        <v>39</v>
      </c>
      <c r="H37" s="23">
        <v>3.55</v>
      </c>
      <c r="I37" s="24">
        <v>1</v>
      </c>
      <c r="J37" s="22">
        <f t="shared" si="9"/>
        <v>2130</v>
      </c>
      <c r="K37" s="22">
        <f t="shared" si="10"/>
        <v>2619.9</v>
      </c>
      <c r="L37" s="23">
        <f t="shared" si="11"/>
        <v>3003.2999999999997</v>
      </c>
      <c r="M37" s="107"/>
      <c r="N37" s="107"/>
      <c r="O37" s="110"/>
      <c r="P37" s="113"/>
    </row>
    <row r="38" spans="1:16" ht="378" x14ac:dyDescent="0.3">
      <c r="A38" s="20" t="s">
        <v>68</v>
      </c>
      <c r="B38" s="20" t="s">
        <v>26</v>
      </c>
      <c r="C38" s="21" t="s">
        <v>66</v>
      </c>
      <c r="D38" s="22" t="s">
        <v>40</v>
      </c>
      <c r="E38" s="22">
        <v>1</v>
      </c>
      <c r="F38" s="22">
        <v>1</v>
      </c>
      <c r="G38" s="22" t="s">
        <v>39</v>
      </c>
      <c r="H38" s="23">
        <v>11810</v>
      </c>
      <c r="I38" s="24">
        <v>1</v>
      </c>
      <c r="J38" s="22">
        <v>11810</v>
      </c>
      <c r="K38" s="22">
        <f>J38*1.23</f>
        <v>14526.3</v>
      </c>
      <c r="L38" s="23">
        <f>J38*1.41</f>
        <v>16652.099999999999</v>
      </c>
      <c r="M38" s="25" t="s">
        <v>88</v>
      </c>
      <c r="N38" s="25" t="s">
        <v>82</v>
      </c>
      <c r="O38" s="30" t="s">
        <v>89</v>
      </c>
      <c r="P38" s="33" t="s">
        <v>93</v>
      </c>
    </row>
    <row r="39" spans="1:16" ht="15.75" x14ac:dyDescent="0.3">
      <c r="A39" s="97" t="s">
        <v>56</v>
      </c>
      <c r="B39" s="97"/>
      <c r="C39" s="97"/>
      <c r="D39" s="97"/>
      <c r="E39" s="97"/>
      <c r="F39" s="97"/>
      <c r="G39" s="97"/>
      <c r="H39" s="97"/>
      <c r="I39" s="97"/>
      <c r="J39" s="15">
        <f>SUM(J26:J38)</f>
        <v>653314.9</v>
      </c>
      <c r="K39" s="15">
        <f>SUM(K26:K38)</f>
        <v>803577.32700000005</v>
      </c>
      <c r="L39" s="15">
        <f>SUM(L26:L38)</f>
        <v>921174.00899999996</v>
      </c>
      <c r="M39" s="14"/>
      <c r="N39" s="14"/>
      <c r="O39" s="14"/>
    </row>
    <row r="40" spans="1:16" ht="15.75" x14ac:dyDescent="0.3">
      <c r="A40" s="26" t="s">
        <v>57</v>
      </c>
      <c r="B40" s="27"/>
      <c r="C40" s="27"/>
      <c r="D40" s="27"/>
      <c r="E40" s="27"/>
      <c r="F40" s="27"/>
      <c r="G40" s="27"/>
      <c r="H40" s="27"/>
      <c r="I40" s="27"/>
      <c r="J40" s="15">
        <f>SUM(J39,J24,J18)</f>
        <v>653314.9</v>
      </c>
      <c r="K40" s="15">
        <f>SUM(K39,K24,K18)</f>
        <v>803577.32700000005</v>
      </c>
      <c r="L40" s="15">
        <f>SUM(L39,L24,L18)</f>
        <v>921174.00899999996</v>
      </c>
      <c r="M40" s="14"/>
      <c r="N40" s="14"/>
      <c r="O40" s="14"/>
    </row>
    <row r="41" spans="1:16" s="1" customFormat="1" x14ac:dyDescent="0.25"/>
    <row r="42" spans="1:16" s="1" customFormat="1" x14ac:dyDescent="0.25"/>
    <row r="43" spans="1:16" s="1" customFormat="1" x14ac:dyDescent="0.25"/>
    <row r="44" spans="1:16" s="1" customFormat="1" x14ac:dyDescent="0.25"/>
    <row r="45" spans="1:16" s="1" customFormat="1" x14ac:dyDescent="0.25"/>
    <row r="46" spans="1:16" s="1" customFormat="1" x14ac:dyDescent="0.25"/>
    <row r="47" spans="1:16" s="1" customFormat="1" x14ac:dyDescent="0.25"/>
    <row r="48" spans="1:16" s="1" customFormat="1" x14ac:dyDescent="0.25"/>
    <row r="49" s="1" customFormat="1" x14ac:dyDescent="0.25"/>
    <row r="50" s="1" customFormat="1" x14ac:dyDescent="0.25"/>
    <row r="51" s="1" customFormat="1" x14ac:dyDescent="0.25"/>
    <row r="52" s="1" customFormat="1" x14ac:dyDescent="0.25"/>
    <row r="53" s="1" customFormat="1" x14ac:dyDescent="0.25"/>
    <row r="54" s="1" customFormat="1" x14ac:dyDescent="0.25"/>
    <row r="55" s="1" customFormat="1" x14ac:dyDescent="0.25"/>
    <row r="56" s="1" customFormat="1" x14ac:dyDescent="0.25"/>
    <row r="57" s="1" customFormat="1" x14ac:dyDescent="0.25"/>
    <row r="58" s="1" customFormat="1" x14ac:dyDescent="0.25"/>
    <row r="59" s="1" customFormat="1" x14ac:dyDescent="0.25"/>
    <row r="60" s="1" customFormat="1" x14ac:dyDescent="0.25"/>
    <row r="61" s="1" customFormat="1" x14ac:dyDescent="0.25"/>
    <row r="62" s="1" customFormat="1" x14ac:dyDescent="0.25"/>
    <row r="63" s="1" customFormat="1" x14ac:dyDescent="0.25"/>
    <row r="64" s="1" customFormat="1" x14ac:dyDescent="0.25"/>
    <row r="65" s="1" customFormat="1" x14ac:dyDescent="0.25"/>
    <row r="66" s="1" customFormat="1" x14ac:dyDescent="0.25"/>
    <row r="67" s="1" customFormat="1" x14ac:dyDescent="0.25"/>
    <row r="68" s="1" customFormat="1" x14ac:dyDescent="0.25"/>
    <row r="69" s="1" customFormat="1" x14ac:dyDescent="0.25"/>
    <row r="70" s="1" customFormat="1" x14ac:dyDescent="0.25"/>
    <row r="71" s="1" customFormat="1" x14ac:dyDescent="0.25"/>
    <row r="72" s="1" customFormat="1" x14ac:dyDescent="0.25"/>
    <row r="73" s="1" customFormat="1" x14ac:dyDescent="0.25"/>
    <row r="74" s="1" customFormat="1" x14ac:dyDescent="0.25"/>
    <row r="75" s="1" customFormat="1" x14ac:dyDescent="0.25"/>
    <row r="76" s="1" customFormat="1" x14ac:dyDescent="0.25"/>
    <row r="77" s="1" customFormat="1" x14ac:dyDescent="0.25"/>
    <row r="78" s="1" customFormat="1" x14ac:dyDescent="0.25"/>
    <row r="79" s="1" customFormat="1" x14ac:dyDescent="0.25"/>
    <row r="80" s="1" customFormat="1" x14ac:dyDescent="0.25"/>
    <row r="81" s="1" customFormat="1" x14ac:dyDescent="0.25"/>
    <row r="82" s="1" customFormat="1" x14ac:dyDescent="0.25"/>
    <row r="83" s="1" customFormat="1" x14ac:dyDescent="0.25"/>
    <row r="84" s="1" customFormat="1" x14ac:dyDescent="0.25"/>
    <row r="85" s="1" customFormat="1" x14ac:dyDescent="0.25"/>
    <row r="86" s="1" customFormat="1" x14ac:dyDescent="0.25"/>
    <row r="87" s="1" customFormat="1" x14ac:dyDescent="0.25"/>
    <row r="88" s="1" customFormat="1" x14ac:dyDescent="0.25"/>
    <row r="89" s="1" customFormat="1" x14ac:dyDescent="0.25"/>
    <row r="90" s="1" customFormat="1" x14ac:dyDescent="0.25"/>
    <row r="91" s="1" customFormat="1" x14ac:dyDescent="0.25"/>
    <row r="92" s="1" customFormat="1" x14ac:dyDescent="0.25"/>
    <row r="93" s="1" customFormat="1" x14ac:dyDescent="0.25"/>
    <row r="94" s="1" customFormat="1" x14ac:dyDescent="0.25"/>
    <row r="95" s="1" customFormat="1" x14ac:dyDescent="0.25"/>
    <row r="96" s="1" customFormat="1" x14ac:dyDescent="0.25"/>
    <row r="97" s="1" customFormat="1" x14ac:dyDescent="0.25"/>
    <row r="98" s="1" customFormat="1" x14ac:dyDescent="0.25"/>
    <row r="99" s="1" customFormat="1" x14ac:dyDescent="0.25"/>
    <row r="100" s="1" customFormat="1" x14ac:dyDescent="0.25"/>
    <row r="101" s="1" customFormat="1" x14ac:dyDescent="0.25"/>
    <row r="102" s="1" customFormat="1" x14ac:dyDescent="0.25"/>
    <row r="103" s="1" customFormat="1" x14ac:dyDescent="0.25"/>
    <row r="104" s="1" customFormat="1" x14ac:dyDescent="0.25"/>
    <row r="105" s="1" customFormat="1" x14ac:dyDescent="0.25"/>
    <row r="106" s="1" customFormat="1" x14ac:dyDescent="0.25"/>
    <row r="107" s="1" customFormat="1" x14ac:dyDescent="0.25"/>
    <row r="108" s="1" customFormat="1" x14ac:dyDescent="0.25"/>
    <row r="109" s="1" customFormat="1" x14ac:dyDescent="0.25"/>
    <row r="110" s="1" customFormat="1" x14ac:dyDescent="0.25"/>
    <row r="111" s="1" customFormat="1" x14ac:dyDescent="0.25"/>
    <row r="112" s="1" customFormat="1" x14ac:dyDescent="0.25"/>
    <row r="113" s="1" customFormat="1" x14ac:dyDescent="0.25"/>
    <row r="114" s="1" customFormat="1" x14ac:dyDescent="0.25"/>
    <row r="115" s="1" customFormat="1" x14ac:dyDescent="0.25"/>
    <row r="116" s="1" customFormat="1" x14ac:dyDescent="0.25"/>
    <row r="117" s="1" customFormat="1" x14ac:dyDescent="0.25"/>
    <row r="118" s="1" customFormat="1" x14ac:dyDescent="0.25"/>
    <row r="119" s="1" customFormat="1" x14ac:dyDescent="0.25"/>
    <row r="120" s="1" customFormat="1" x14ac:dyDescent="0.25"/>
    <row r="121" s="1" customForma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row r="306" s="1" customFormat="1" x14ac:dyDescent="0.25"/>
    <row r="307" s="1" customFormat="1" x14ac:dyDescent="0.25"/>
    <row r="308" s="1" customFormat="1" x14ac:dyDescent="0.25"/>
    <row r="309" s="1" customFormat="1" x14ac:dyDescent="0.25"/>
    <row r="310" s="1" customFormat="1" x14ac:dyDescent="0.25"/>
    <row r="311" s="1" customFormat="1" x14ac:dyDescent="0.25"/>
    <row r="312" s="1" customFormat="1" x14ac:dyDescent="0.25"/>
    <row r="313" s="1" customFormat="1" x14ac:dyDescent="0.25"/>
    <row r="314" s="1" customFormat="1" x14ac:dyDescent="0.25"/>
    <row r="315" s="1" customFormat="1" x14ac:dyDescent="0.25"/>
    <row r="316" s="1" customFormat="1" x14ac:dyDescent="0.25"/>
    <row r="317" s="1" customFormat="1" x14ac:dyDescent="0.25"/>
    <row r="318" s="1" customFormat="1" x14ac:dyDescent="0.25"/>
    <row r="319" s="1" customFormat="1" x14ac:dyDescent="0.25"/>
    <row r="320" s="1" customFormat="1" x14ac:dyDescent="0.25"/>
    <row r="321" s="1" customFormat="1" x14ac:dyDescent="0.25"/>
    <row r="322" s="1" customFormat="1" x14ac:dyDescent="0.25"/>
    <row r="323" s="1" customFormat="1" x14ac:dyDescent="0.25"/>
    <row r="324" s="1" customFormat="1" x14ac:dyDescent="0.25"/>
    <row r="325" s="1" customFormat="1" x14ac:dyDescent="0.25"/>
    <row r="326" s="1" customFormat="1" x14ac:dyDescent="0.25"/>
    <row r="327" s="1" customFormat="1" x14ac:dyDescent="0.25"/>
    <row r="328" s="1" customFormat="1" x14ac:dyDescent="0.25"/>
    <row r="329" s="1" customFormat="1" x14ac:dyDescent="0.25"/>
    <row r="330" s="1" customFormat="1" x14ac:dyDescent="0.25"/>
    <row r="331" s="1" customFormat="1" x14ac:dyDescent="0.25"/>
    <row r="332" s="1" customFormat="1" x14ac:dyDescent="0.25"/>
    <row r="333" s="1" customFormat="1" x14ac:dyDescent="0.25"/>
    <row r="334" s="1" customFormat="1" x14ac:dyDescent="0.25"/>
    <row r="335" s="1" customFormat="1" x14ac:dyDescent="0.25"/>
    <row r="336" s="1" customFormat="1" x14ac:dyDescent="0.25"/>
    <row r="337" s="1" customFormat="1" x14ac:dyDescent="0.25"/>
    <row r="338" s="1" customFormat="1" x14ac:dyDescent="0.25"/>
    <row r="339" s="1" customFormat="1" x14ac:dyDescent="0.25"/>
    <row r="340" s="1" customFormat="1" x14ac:dyDescent="0.25"/>
    <row r="341" s="1" customFormat="1" x14ac:dyDescent="0.25"/>
    <row r="342" s="1" customFormat="1" x14ac:dyDescent="0.25"/>
    <row r="343" s="1" customFormat="1" x14ac:dyDescent="0.25"/>
    <row r="344" s="1" customFormat="1" x14ac:dyDescent="0.25"/>
    <row r="345" s="1" customFormat="1" x14ac:dyDescent="0.25"/>
    <row r="346" s="1" customFormat="1" x14ac:dyDescent="0.25"/>
    <row r="347" s="1" customFormat="1" x14ac:dyDescent="0.25"/>
    <row r="348" s="1" customFormat="1" x14ac:dyDescent="0.25"/>
    <row r="349" s="1" customFormat="1" x14ac:dyDescent="0.25"/>
    <row r="350" s="1" customFormat="1" x14ac:dyDescent="0.25"/>
    <row r="351" s="1" customFormat="1" x14ac:dyDescent="0.25"/>
    <row r="352" s="1" customFormat="1" x14ac:dyDescent="0.25"/>
    <row r="353" s="1" customFormat="1" x14ac:dyDescent="0.25"/>
    <row r="354" s="1" customFormat="1" x14ac:dyDescent="0.25"/>
    <row r="355" s="1" customFormat="1" x14ac:dyDescent="0.25"/>
    <row r="356" s="1" customFormat="1" x14ac:dyDescent="0.25"/>
    <row r="357" s="1" customFormat="1" x14ac:dyDescent="0.25"/>
    <row r="358" s="1" customFormat="1" x14ac:dyDescent="0.25"/>
    <row r="359" s="1" customFormat="1" x14ac:dyDescent="0.25"/>
    <row r="360" s="1" customFormat="1" x14ac:dyDescent="0.25"/>
    <row r="361" s="1" customFormat="1" x14ac:dyDescent="0.25"/>
    <row r="362" s="1" customFormat="1" x14ac:dyDescent="0.25"/>
    <row r="363" s="1" customFormat="1" x14ac:dyDescent="0.25"/>
    <row r="364" s="1" customFormat="1" x14ac:dyDescent="0.25"/>
    <row r="365" s="1" customFormat="1" x14ac:dyDescent="0.25"/>
    <row r="366" s="1" customFormat="1" x14ac:dyDescent="0.25"/>
    <row r="367" s="1" customFormat="1" x14ac:dyDescent="0.25"/>
    <row r="368" s="1" customFormat="1" x14ac:dyDescent="0.25"/>
    <row r="369" s="1" customFormat="1" x14ac:dyDescent="0.25"/>
    <row r="370" s="1" customFormat="1" x14ac:dyDescent="0.25"/>
    <row r="371" s="1" customFormat="1" x14ac:dyDescent="0.25"/>
    <row r="372" s="1" customFormat="1" x14ac:dyDescent="0.25"/>
    <row r="373" s="1" customFormat="1" x14ac:dyDescent="0.25"/>
    <row r="374" s="1" customFormat="1" x14ac:dyDescent="0.25"/>
    <row r="375" s="1" customFormat="1" x14ac:dyDescent="0.25"/>
    <row r="376" s="1" customFormat="1" x14ac:dyDescent="0.25"/>
    <row r="377" s="1" customFormat="1" x14ac:dyDescent="0.25"/>
    <row r="378" s="1" customFormat="1" x14ac:dyDescent="0.25"/>
    <row r="379" s="1" customFormat="1" x14ac:dyDescent="0.25"/>
    <row r="380" s="1" customFormat="1" x14ac:dyDescent="0.25"/>
    <row r="381" s="1" customFormat="1" x14ac:dyDescent="0.25"/>
    <row r="382" s="1" customFormat="1" x14ac:dyDescent="0.25"/>
    <row r="383" s="1" customFormat="1" x14ac:dyDescent="0.25"/>
    <row r="384" s="1" customFormat="1" x14ac:dyDescent="0.25"/>
    <row r="385" s="1" customFormat="1" x14ac:dyDescent="0.25"/>
    <row r="386" s="1" customFormat="1" x14ac:dyDescent="0.25"/>
    <row r="387" s="1" customFormat="1" x14ac:dyDescent="0.25"/>
    <row r="388" s="1" customFormat="1" x14ac:dyDescent="0.25"/>
    <row r="389" s="1" customFormat="1" x14ac:dyDescent="0.25"/>
    <row r="390" s="1" customFormat="1" x14ac:dyDescent="0.25"/>
    <row r="391" s="1" customFormat="1" x14ac:dyDescent="0.25"/>
    <row r="392" s="1" customFormat="1" x14ac:dyDescent="0.25"/>
    <row r="393" s="1" customFormat="1" x14ac:dyDescent="0.25"/>
    <row r="394" s="1" customFormat="1" x14ac:dyDescent="0.25"/>
    <row r="395" s="1" customFormat="1" x14ac:dyDescent="0.25"/>
    <row r="396" s="1" customFormat="1" x14ac:dyDescent="0.25"/>
    <row r="397" s="1" customFormat="1" x14ac:dyDescent="0.25"/>
    <row r="398" s="1" customFormat="1" x14ac:dyDescent="0.25"/>
    <row r="399" s="1" customFormat="1" x14ac:dyDescent="0.25"/>
    <row r="400" s="1" customFormat="1" x14ac:dyDescent="0.25"/>
    <row r="401" s="1" customFormat="1" x14ac:dyDescent="0.25"/>
    <row r="402" s="1" customFormat="1" x14ac:dyDescent="0.25"/>
    <row r="403" s="1" customFormat="1" x14ac:dyDescent="0.25"/>
    <row r="404" s="1" customFormat="1" x14ac:dyDescent="0.25"/>
    <row r="405" s="1" customFormat="1" x14ac:dyDescent="0.25"/>
    <row r="406" s="1" customFormat="1" x14ac:dyDescent="0.25"/>
    <row r="407" s="1" customFormat="1" x14ac:dyDescent="0.25"/>
    <row r="408" s="1" customFormat="1" x14ac:dyDescent="0.25"/>
    <row r="409" s="1" customFormat="1" x14ac:dyDescent="0.25"/>
    <row r="410" s="1" customFormat="1" x14ac:dyDescent="0.25"/>
    <row r="411" s="1" customFormat="1" x14ac:dyDescent="0.25"/>
    <row r="412" s="1" customFormat="1" x14ac:dyDescent="0.25"/>
    <row r="413" s="1" customFormat="1" x14ac:dyDescent="0.25"/>
    <row r="414" s="1" customFormat="1" x14ac:dyDescent="0.25"/>
    <row r="415" s="1" customFormat="1" x14ac:dyDescent="0.25"/>
    <row r="416" s="1" customFormat="1" x14ac:dyDescent="0.25"/>
    <row r="417" s="1" customFormat="1" x14ac:dyDescent="0.25"/>
    <row r="418" s="1" customFormat="1" x14ac:dyDescent="0.25"/>
    <row r="419" s="1" customFormat="1" x14ac:dyDescent="0.25"/>
    <row r="420" s="1" customFormat="1" x14ac:dyDescent="0.25"/>
    <row r="421" s="1" customFormat="1" x14ac:dyDescent="0.25"/>
    <row r="422" s="1" customFormat="1" x14ac:dyDescent="0.25"/>
    <row r="423" s="1" customFormat="1" x14ac:dyDescent="0.25"/>
    <row r="424" s="1" customFormat="1" x14ac:dyDescent="0.25"/>
    <row r="425" s="1" customFormat="1" x14ac:dyDescent="0.25"/>
    <row r="426" s="1" customFormat="1" x14ac:dyDescent="0.25"/>
    <row r="427" s="1" customFormat="1" x14ac:dyDescent="0.25"/>
    <row r="428" s="1" customFormat="1" x14ac:dyDescent="0.25"/>
    <row r="429" s="1" customFormat="1" x14ac:dyDescent="0.25"/>
    <row r="430" s="1" customFormat="1" x14ac:dyDescent="0.25"/>
    <row r="431" s="1" customFormat="1" x14ac:dyDescent="0.25"/>
    <row r="432" s="1" customFormat="1" x14ac:dyDescent="0.25"/>
    <row r="433" s="1" customFormat="1" x14ac:dyDescent="0.25"/>
    <row r="434" s="1" customFormat="1" x14ac:dyDescent="0.25"/>
    <row r="435" s="1" customFormat="1" x14ac:dyDescent="0.25"/>
    <row r="436" s="1" customFormat="1" x14ac:dyDescent="0.25"/>
    <row r="437" s="1" customFormat="1" x14ac:dyDescent="0.25"/>
    <row r="438" s="1" customFormat="1" x14ac:dyDescent="0.25"/>
    <row r="439" s="1" customFormat="1" x14ac:dyDescent="0.25"/>
    <row r="440" s="1" customFormat="1" x14ac:dyDescent="0.25"/>
    <row r="441" s="1" customFormat="1" x14ac:dyDescent="0.25"/>
    <row r="442" s="1" customFormat="1" x14ac:dyDescent="0.25"/>
    <row r="443" s="1" customFormat="1" x14ac:dyDescent="0.25"/>
    <row r="444" s="1" customFormat="1" x14ac:dyDescent="0.25"/>
    <row r="445" s="1" customFormat="1" x14ac:dyDescent="0.25"/>
    <row r="446" s="1" customFormat="1" x14ac:dyDescent="0.25"/>
    <row r="447" s="1" customFormat="1" x14ac:dyDescent="0.25"/>
    <row r="448" s="1" customFormat="1" x14ac:dyDescent="0.25"/>
    <row r="449" s="1" customFormat="1" x14ac:dyDescent="0.25"/>
    <row r="450" s="1" customFormat="1" x14ac:dyDescent="0.25"/>
    <row r="451" s="1" customFormat="1" x14ac:dyDescent="0.25"/>
    <row r="452" s="1" customFormat="1" x14ac:dyDescent="0.25"/>
    <row r="453" s="1" customFormat="1" x14ac:dyDescent="0.25"/>
    <row r="454" s="1" customFormat="1" x14ac:dyDescent="0.25"/>
    <row r="455" s="1" customFormat="1" x14ac:dyDescent="0.25"/>
    <row r="456" s="1" customFormat="1" x14ac:dyDescent="0.25"/>
    <row r="457" s="1" customFormat="1" x14ac:dyDescent="0.25"/>
    <row r="458" s="1" customFormat="1" x14ac:dyDescent="0.25"/>
    <row r="459" s="1" customFormat="1" x14ac:dyDescent="0.25"/>
    <row r="460" s="1" customFormat="1" x14ac:dyDescent="0.25"/>
    <row r="461" s="1" customFormat="1" x14ac:dyDescent="0.25"/>
    <row r="462" s="1" customFormat="1" x14ac:dyDescent="0.25"/>
    <row r="463" s="1" customFormat="1" x14ac:dyDescent="0.25"/>
    <row r="464" s="1" customFormat="1" x14ac:dyDescent="0.25"/>
    <row r="465" s="1" customFormat="1" x14ac:dyDescent="0.25"/>
    <row r="466" s="1" customFormat="1" x14ac:dyDescent="0.25"/>
    <row r="467" s="1" customFormat="1" x14ac:dyDescent="0.25"/>
    <row r="468" s="1" customFormat="1" x14ac:dyDescent="0.25"/>
    <row r="469" s="1" customFormat="1" x14ac:dyDescent="0.25"/>
    <row r="470" s="1" customFormat="1" x14ac:dyDescent="0.25"/>
    <row r="471" s="1" customFormat="1" x14ac:dyDescent="0.25"/>
    <row r="472" s="1" customFormat="1" x14ac:dyDescent="0.25"/>
    <row r="473" s="1" customFormat="1" x14ac:dyDescent="0.25"/>
    <row r="474" s="1" customFormat="1" x14ac:dyDescent="0.25"/>
    <row r="475" s="1" customFormat="1" x14ac:dyDescent="0.25"/>
    <row r="476" s="1" customFormat="1" x14ac:dyDescent="0.25"/>
    <row r="477" s="1" customFormat="1" x14ac:dyDescent="0.25"/>
    <row r="478" s="1" customFormat="1" x14ac:dyDescent="0.25"/>
    <row r="479" s="1" customFormat="1" x14ac:dyDescent="0.25"/>
    <row r="480" s="1" customFormat="1" x14ac:dyDescent="0.25"/>
    <row r="481" s="1" customFormat="1" x14ac:dyDescent="0.25"/>
    <row r="482" s="1" customFormat="1" x14ac:dyDescent="0.25"/>
    <row r="483" s="1" customFormat="1" x14ac:dyDescent="0.25"/>
    <row r="484" s="1" customFormat="1" x14ac:dyDescent="0.25"/>
    <row r="485" s="1" customFormat="1" x14ac:dyDescent="0.25"/>
    <row r="486" s="1" customFormat="1" x14ac:dyDescent="0.25"/>
    <row r="487" s="1" customFormat="1" x14ac:dyDescent="0.25"/>
    <row r="488" s="1" customFormat="1" x14ac:dyDescent="0.25"/>
    <row r="489" s="1" customFormat="1" x14ac:dyDescent="0.25"/>
    <row r="490" s="1" customFormat="1" x14ac:dyDescent="0.25"/>
    <row r="491" s="1" customFormat="1" x14ac:dyDescent="0.25"/>
    <row r="492" s="1" customFormat="1" x14ac:dyDescent="0.25"/>
    <row r="493" s="1" customFormat="1" x14ac:dyDescent="0.25"/>
    <row r="494" s="1" customFormat="1" x14ac:dyDescent="0.25"/>
    <row r="495" s="1" customFormat="1" x14ac:dyDescent="0.25"/>
    <row r="496" s="1" customFormat="1" x14ac:dyDescent="0.25"/>
    <row r="497" s="1" customFormat="1" x14ac:dyDescent="0.25"/>
    <row r="498" s="1" customFormat="1" x14ac:dyDescent="0.25"/>
    <row r="499" s="1" customFormat="1" x14ac:dyDescent="0.25"/>
    <row r="500" s="1" customFormat="1" x14ac:dyDescent="0.25"/>
    <row r="501" s="1" customFormat="1" x14ac:dyDescent="0.25"/>
    <row r="502" s="1" customFormat="1" x14ac:dyDescent="0.25"/>
    <row r="503" s="1" customFormat="1" x14ac:dyDescent="0.25"/>
    <row r="504" s="1" customFormat="1" x14ac:dyDescent="0.25"/>
    <row r="505" s="1" customFormat="1" x14ac:dyDescent="0.25"/>
    <row r="506" s="1" customFormat="1" x14ac:dyDescent="0.25"/>
    <row r="507" s="1" customFormat="1" x14ac:dyDescent="0.25"/>
    <row r="508" s="1" customFormat="1" x14ac:dyDescent="0.25"/>
    <row r="509" s="1" customFormat="1" x14ac:dyDescent="0.25"/>
    <row r="510" s="1" customFormat="1" x14ac:dyDescent="0.25"/>
    <row r="511" s="1" customFormat="1" x14ac:dyDescent="0.25"/>
    <row r="512" s="1" customFormat="1" x14ac:dyDescent="0.25"/>
    <row r="513" s="1" customFormat="1" x14ac:dyDescent="0.25"/>
    <row r="514" s="1" customFormat="1" x14ac:dyDescent="0.25"/>
    <row r="515" s="1" customFormat="1" x14ac:dyDescent="0.25"/>
    <row r="516" s="1" customFormat="1" x14ac:dyDescent="0.25"/>
    <row r="517" s="1" customFormat="1" x14ac:dyDescent="0.25"/>
    <row r="518" s="1" customFormat="1" x14ac:dyDescent="0.25"/>
    <row r="519" s="1" customFormat="1" x14ac:dyDescent="0.25"/>
    <row r="520" s="1" customFormat="1" x14ac:dyDescent="0.25"/>
    <row r="521" s="1" customFormat="1" x14ac:dyDescent="0.25"/>
    <row r="522" s="1" customFormat="1" x14ac:dyDescent="0.25"/>
    <row r="523" s="1" customFormat="1" x14ac:dyDescent="0.25"/>
    <row r="524" s="1" customFormat="1" x14ac:dyDescent="0.25"/>
    <row r="525" s="1" customFormat="1" x14ac:dyDescent="0.25"/>
    <row r="526" s="1" customFormat="1" x14ac:dyDescent="0.25"/>
    <row r="527" s="1" customFormat="1" x14ac:dyDescent="0.25"/>
    <row r="528" s="1" customFormat="1" x14ac:dyDescent="0.25"/>
    <row r="529" s="1" customFormat="1" x14ac:dyDescent="0.25"/>
    <row r="530" s="1" customFormat="1" x14ac:dyDescent="0.25"/>
    <row r="531" s="1" customFormat="1" x14ac:dyDescent="0.25"/>
    <row r="532" s="1" customFormat="1" x14ac:dyDescent="0.25"/>
    <row r="533" s="1" customFormat="1" x14ac:dyDescent="0.25"/>
    <row r="534" s="1" customFormat="1" x14ac:dyDescent="0.25"/>
    <row r="535" s="1" customFormat="1" x14ac:dyDescent="0.25"/>
    <row r="536" s="1" customFormat="1" x14ac:dyDescent="0.25"/>
    <row r="537" s="1" customFormat="1" x14ac:dyDescent="0.25"/>
    <row r="538" s="1" customFormat="1" x14ac:dyDescent="0.25"/>
    <row r="539" s="1" customFormat="1" x14ac:dyDescent="0.25"/>
    <row r="540" s="1" customFormat="1" x14ac:dyDescent="0.25"/>
    <row r="541" s="1" customFormat="1" x14ac:dyDescent="0.25"/>
    <row r="542" s="1" customFormat="1" x14ac:dyDescent="0.25"/>
    <row r="543" s="1" customFormat="1" x14ac:dyDescent="0.25"/>
    <row r="544" s="1" customFormat="1" x14ac:dyDescent="0.25"/>
    <row r="545" s="1" customFormat="1" x14ac:dyDescent="0.25"/>
    <row r="546" s="1" customFormat="1" x14ac:dyDescent="0.25"/>
    <row r="547" s="1" customFormat="1" x14ac:dyDescent="0.25"/>
    <row r="548" s="1" customFormat="1" x14ac:dyDescent="0.25"/>
    <row r="549" s="1" customFormat="1" x14ac:dyDescent="0.25"/>
    <row r="550" s="1" customFormat="1" x14ac:dyDescent="0.25"/>
    <row r="551" s="1" customFormat="1" x14ac:dyDescent="0.25"/>
    <row r="552" s="1" customFormat="1" x14ac:dyDescent="0.25"/>
    <row r="553" s="1" customFormat="1" x14ac:dyDescent="0.25"/>
    <row r="554" s="1" customFormat="1" x14ac:dyDescent="0.25"/>
    <row r="555" s="1" customFormat="1" x14ac:dyDescent="0.25"/>
    <row r="556" s="1" customFormat="1" x14ac:dyDescent="0.25"/>
    <row r="557" s="1" customFormat="1" x14ac:dyDescent="0.25"/>
    <row r="558" s="1" customFormat="1" x14ac:dyDescent="0.25"/>
    <row r="559" s="1" customFormat="1" x14ac:dyDescent="0.25"/>
    <row r="560" s="1" customFormat="1" x14ac:dyDescent="0.25"/>
    <row r="561" s="1" customFormat="1" x14ac:dyDescent="0.25"/>
    <row r="562" s="1" customFormat="1" x14ac:dyDescent="0.25"/>
    <row r="563" s="1" customFormat="1" x14ac:dyDescent="0.25"/>
    <row r="564" s="1" customFormat="1" x14ac:dyDescent="0.25"/>
    <row r="565" s="1" customFormat="1" x14ac:dyDescent="0.25"/>
    <row r="566" s="1" customFormat="1" x14ac:dyDescent="0.25"/>
    <row r="567" s="1" customFormat="1" x14ac:dyDescent="0.25"/>
    <row r="568" s="1" customFormat="1" x14ac:dyDescent="0.25"/>
    <row r="569" s="1" customFormat="1" x14ac:dyDescent="0.25"/>
    <row r="570" s="1" customFormat="1" x14ac:dyDescent="0.25"/>
    <row r="571" s="1" customFormat="1" x14ac:dyDescent="0.25"/>
    <row r="572" s="1" customFormat="1" x14ac:dyDescent="0.25"/>
    <row r="573" s="1" customFormat="1" x14ac:dyDescent="0.25"/>
    <row r="574" s="1" customFormat="1" x14ac:dyDescent="0.25"/>
    <row r="575" s="1" customFormat="1" x14ac:dyDescent="0.25"/>
    <row r="576" s="1" customFormat="1" x14ac:dyDescent="0.25"/>
    <row r="577" s="1" customFormat="1" x14ac:dyDescent="0.25"/>
    <row r="578" s="1" customFormat="1" x14ac:dyDescent="0.25"/>
    <row r="579" s="1" customFormat="1" x14ac:dyDescent="0.25"/>
    <row r="580" s="1" customFormat="1" x14ac:dyDescent="0.25"/>
    <row r="581" s="1" customFormat="1" x14ac:dyDescent="0.25"/>
    <row r="582" s="1" customFormat="1" x14ac:dyDescent="0.25"/>
    <row r="583" s="1" customFormat="1" x14ac:dyDescent="0.25"/>
    <row r="584" s="1" customFormat="1" x14ac:dyDescent="0.25"/>
    <row r="585" s="1" customFormat="1" x14ac:dyDescent="0.25"/>
    <row r="586" s="1" customFormat="1" x14ac:dyDescent="0.25"/>
    <row r="587" s="1" customFormat="1" x14ac:dyDescent="0.25"/>
    <row r="588" s="1" customFormat="1" x14ac:dyDescent="0.25"/>
    <row r="589" s="1" customFormat="1" x14ac:dyDescent="0.25"/>
    <row r="590" s="1" customFormat="1" x14ac:dyDescent="0.25"/>
    <row r="591" s="1" customFormat="1" x14ac:dyDescent="0.25"/>
    <row r="592" s="1" customFormat="1" x14ac:dyDescent="0.25"/>
    <row r="593" s="1" customFormat="1" x14ac:dyDescent="0.25"/>
    <row r="594" s="1" customFormat="1" x14ac:dyDescent="0.25"/>
    <row r="595" s="1" customFormat="1" x14ac:dyDescent="0.25"/>
    <row r="596" s="1" customFormat="1" x14ac:dyDescent="0.25"/>
    <row r="597" s="1" customFormat="1" x14ac:dyDescent="0.25"/>
    <row r="598" s="1" customFormat="1" x14ac:dyDescent="0.25"/>
    <row r="599" s="1" customFormat="1" x14ac:dyDescent="0.25"/>
    <row r="600" s="1" customFormat="1" x14ac:dyDescent="0.25"/>
    <row r="601" s="1" customFormat="1" x14ac:dyDescent="0.25"/>
    <row r="602" s="1" customFormat="1" x14ac:dyDescent="0.25"/>
    <row r="603" s="1" customFormat="1" x14ac:dyDescent="0.25"/>
    <row r="604" s="1" customFormat="1" x14ac:dyDescent="0.25"/>
    <row r="605" s="1" customFormat="1" x14ac:dyDescent="0.25"/>
    <row r="606" s="1" customFormat="1" x14ac:dyDescent="0.25"/>
    <row r="607" s="1" customFormat="1" x14ac:dyDescent="0.25"/>
    <row r="608" s="1" customFormat="1" x14ac:dyDescent="0.25"/>
    <row r="609" s="1" customFormat="1" x14ac:dyDescent="0.25"/>
    <row r="610" s="1" customFormat="1" x14ac:dyDescent="0.25"/>
    <row r="611" s="1" customFormat="1" x14ac:dyDescent="0.25"/>
    <row r="612" s="1" customFormat="1" x14ac:dyDescent="0.25"/>
    <row r="613" s="1" customFormat="1" x14ac:dyDescent="0.25"/>
    <row r="614" s="1" customFormat="1" x14ac:dyDescent="0.25"/>
    <row r="615" s="1" customFormat="1" x14ac:dyDescent="0.25"/>
    <row r="616" s="1" customFormat="1" x14ac:dyDescent="0.25"/>
    <row r="617" s="1" customFormat="1" x14ac:dyDescent="0.25"/>
    <row r="618" s="1" customFormat="1" x14ac:dyDescent="0.25"/>
    <row r="619" s="1" customFormat="1" x14ac:dyDescent="0.25"/>
    <row r="620" s="1" customFormat="1" x14ac:dyDescent="0.25"/>
    <row r="621" s="1" customFormat="1" x14ac:dyDescent="0.25"/>
    <row r="622" s="1" customFormat="1" x14ac:dyDescent="0.25"/>
    <row r="623" s="1" customFormat="1" x14ac:dyDescent="0.25"/>
    <row r="624" s="1" customFormat="1" x14ac:dyDescent="0.25"/>
    <row r="625" s="1" customFormat="1" x14ac:dyDescent="0.25"/>
    <row r="626" s="1" customFormat="1" x14ac:dyDescent="0.25"/>
    <row r="627" s="1" customFormat="1" x14ac:dyDescent="0.25"/>
    <row r="628" s="1" customFormat="1" x14ac:dyDescent="0.25"/>
    <row r="629" s="1" customFormat="1" x14ac:dyDescent="0.25"/>
    <row r="630" s="1" customFormat="1" x14ac:dyDescent="0.25"/>
    <row r="631" s="1" customFormat="1" x14ac:dyDescent="0.25"/>
    <row r="632" s="1" customFormat="1" x14ac:dyDescent="0.25"/>
    <row r="633" s="1" customFormat="1" x14ac:dyDescent="0.25"/>
    <row r="634" s="1" customFormat="1" x14ac:dyDescent="0.25"/>
    <row r="635" s="1" customFormat="1" x14ac:dyDescent="0.25"/>
    <row r="636" s="1" customFormat="1" x14ac:dyDescent="0.25"/>
    <row r="637" s="1" customFormat="1" x14ac:dyDescent="0.25"/>
    <row r="638" s="1" customFormat="1" x14ac:dyDescent="0.25"/>
    <row r="639" s="1" customFormat="1" x14ac:dyDescent="0.25"/>
    <row r="640" s="1" customFormat="1" x14ac:dyDescent="0.25"/>
    <row r="641" s="1" customFormat="1" x14ac:dyDescent="0.25"/>
    <row r="642" s="1" customFormat="1" x14ac:dyDescent="0.25"/>
    <row r="643" s="1" customFormat="1" x14ac:dyDescent="0.25"/>
    <row r="644" s="1" customFormat="1" x14ac:dyDescent="0.25"/>
    <row r="645" s="1" customFormat="1" x14ac:dyDescent="0.25"/>
    <row r="646" s="1" customFormat="1" x14ac:dyDescent="0.25"/>
    <row r="647" s="1" customFormat="1" x14ac:dyDescent="0.25"/>
    <row r="648" s="1" customFormat="1" x14ac:dyDescent="0.25"/>
    <row r="649" s="1" customFormat="1" x14ac:dyDescent="0.25"/>
    <row r="650" s="1" customFormat="1" x14ac:dyDescent="0.25"/>
    <row r="651" s="1" customFormat="1" x14ac:dyDescent="0.25"/>
    <row r="652" s="1" customFormat="1" x14ac:dyDescent="0.25"/>
    <row r="653" s="1" customFormat="1" x14ac:dyDescent="0.25"/>
    <row r="654" s="1" customFormat="1" x14ac:dyDescent="0.25"/>
    <row r="655" s="1" customFormat="1" x14ac:dyDescent="0.25"/>
    <row r="656" s="1" customFormat="1" x14ac:dyDescent="0.25"/>
    <row r="657" s="1" customFormat="1" x14ac:dyDescent="0.25"/>
    <row r="658" s="1" customFormat="1" x14ac:dyDescent="0.25"/>
    <row r="659" s="1" customFormat="1" x14ac:dyDescent="0.25"/>
    <row r="660" s="1" customFormat="1" x14ac:dyDescent="0.25"/>
    <row r="661" s="1" customFormat="1" x14ac:dyDescent="0.25"/>
    <row r="662" s="1" customFormat="1" x14ac:dyDescent="0.25"/>
    <row r="663" s="1" customFormat="1" x14ac:dyDescent="0.25"/>
    <row r="664" s="1" customFormat="1" x14ac:dyDescent="0.25"/>
    <row r="665" s="1" customFormat="1" x14ac:dyDescent="0.25"/>
    <row r="666" s="1" customFormat="1" x14ac:dyDescent="0.25"/>
    <row r="667" s="1" customFormat="1" x14ac:dyDescent="0.25"/>
    <row r="668" s="1" customFormat="1" x14ac:dyDescent="0.25"/>
    <row r="669" s="1" customFormat="1" x14ac:dyDescent="0.25"/>
    <row r="670" s="1" customFormat="1" x14ac:dyDescent="0.25"/>
    <row r="671" s="1" customFormat="1" x14ac:dyDescent="0.25"/>
    <row r="672" s="1" customFormat="1" x14ac:dyDescent="0.25"/>
    <row r="673" s="1" customFormat="1" x14ac:dyDescent="0.25"/>
    <row r="674" s="1" customFormat="1" x14ac:dyDescent="0.25"/>
    <row r="675" s="1" customFormat="1" x14ac:dyDescent="0.25"/>
    <row r="676" s="1" customFormat="1" x14ac:dyDescent="0.25"/>
    <row r="677" s="1" customFormat="1" x14ac:dyDescent="0.25"/>
    <row r="678" s="1" customFormat="1" x14ac:dyDescent="0.25"/>
    <row r="679" s="1" customFormat="1" x14ac:dyDescent="0.25"/>
    <row r="680" s="1" customFormat="1" x14ac:dyDescent="0.25"/>
    <row r="681" s="1" customFormat="1" x14ac:dyDescent="0.25"/>
    <row r="682" s="1" customFormat="1" x14ac:dyDescent="0.25"/>
    <row r="683" s="1" customFormat="1" x14ac:dyDescent="0.25"/>
    <row r="684" s="1" customFormat="1" x14ac:dyDescent="0.25"/>
    <row r="685" s="1" customFormat="1" x14ac:dyDescent="0.25"/>
    <row r="686" s="1" customFormat="1" x14ac:dyDescent="0.25"/>
    <row r="687" s="1" customFormat="1" x14ac:dyDescent="0.25"/>
    <row r="688" s="1" customFormat="1" x14ac:dyDescent="0.25"/>
    <row r="689" s="1" customFormat="1" x14ac:dyDescent="0.25"/>
    <row r="690" s="1" customFormat="1" x14ac:dyDescent="0.25"/>
    <row r="691" s="1" customFormat="1" x14ac:dyDescent="0.25"/>
    <row r="692" s="1" customFormat="1" x14ac:dyDescent="0.25"/>
    <row r="693" s="1" customFormat="1" x14ac:dyDescent="0.25"/>
    <row r="694" s="1" customFormat="1" x14ac:dyDescent="0.25"/>
    <row r="695" s="1" customFormat="1" x14ac:dyDescent="0.25"/>
    <row r="696" s="1" customFormat="1" x14ac:dyDescent="0.25"/>
    <row r="697" s="1" customFormat="1" x14ac:dyDescent="0.25"/>
    <row r="698" s="1" customFormat="1" x14ac:dyDescent="0.25"/>
    <row r="699" s="1" customFormat="1" x14ac:dyDescent="0.25"/>
    <row r="700" s="1" customFormat="1" x14ac:dyDescent="0.25"/>
    <row r="701" s="1" customFormat="1" x14ac:dyDescent="0.25"/>
    <row r="702" s="1" customFormat="1" x14ac:dyDescent="0.25"/>
    <row r="703" s="1" customFormat="1" x14ac:dyDescent="0.25"/>
    <row r="704" s="1" customFormat="1" x14ac:dyDescent="0.25"/>
    <row r="705" s="1" customFormat="1" x14ac:dyDescent="0.25"/>
    <row r="706" s="1" customFormat="1" x14ac:dyDescent="0.25"/>
    <row r="707" s="1" customFormat="1" x14ac:dyDescent="0.25"/>
    <row r="708" s="1" customFormat="1" x14ac:dyDescent="0.25"/>
    <row r="709" s="1" customFormat="1" x14ac:dyDescent="0.25"/>
    <row r="710" s="1" customFormat="1" x14ac:dyDescent="0.25"/>
    <row r="711" s="1" customFormat="1" x14ac:dyDescent="0.25"/>
    <row r="712" s="1" customFormat="1" x14ac:dyDescent="0.25"/>
    <row r="713" s="1" customFormat="1" x14ac:dyDescent="0.25"/>
    <row r="714" s="1" customFormat="1" x14ac:dyDescent="0.25"/>
    <row r="715" s="1" customFormat="1" x14ac:dyDescent="0.25"/>
    <row r="716" s="1" customFormat="1" x14ac:dyDescent="0.25"/>
    <row r="717" s="1" customFormat="1" x14ac:dyDescent="0.25"/>
    <row r="718" s="1" customFormat="1" x14ac:dyDescent="0.25"/>
    <row r="719" s="1" customFormat="1" x14ac:dyDescent="0.25"/>
    <row r="720" s="1" customFormat="1" x14ac:dyDescent="0.25"/>
    <row r="721" s="1" customFormat="1" x14ac:dyDescent="0.25"/>
    <row r="722" s="1" customFormat="1" x14ac:dyDescent="0.25"/>
    <row r="723" s="1" customFormat="1" x14ac:dyDescent="0.25"/>
    <row r="724" s="1" customFormat="1" x14ac:dyDescent="0.25"/>
    <row r="725" s="1" customFormat="1" x14ac:dyDescent="0.25"/>
    <row r="726" s="1" customFormat="1" x14ac:dyDescent="0.25"/>
    <row r="727" s="1" customFormat="1" x14ac:dyDescent="0.25"/>
    <row r="728" s="1" customFormat="1" x14ac:dyDescent="0.25"/>
    <row r="729" s="1" customFormat="1" x14ac:dyDescent="0.25"/>
    <row r="730" s="1" customFormat="1" x14ac:dyDescent="0.25"/>
    <row r="731" s="1" customFormat="1" x14ac:dyDescent="0.25"/>
    <row r="732" s="1" customFormat="1" x14ac:dyDescent="0.25"/>
    <row r="733" s="1" customFormat="1" x14ac:dyDescent="0.25"/>
    <row r="734" s="1" customFormat="1" x14ac:dyDescent="0.25"/>
    <row r="735" s="1" customFormat="1" x14ac:dyDescent="0.25"/>
    <row r="736" s="1" customFormat="1" x14ac:dyDescent="0.25"/>
    <row r="737" s="1" customFormat="1" x14ac:dyDescent="0.25"/>
    <row r="738" s="1" customFormat="1" x14ac:dyDescent="0.25"/>
    <row r="739" s="1" customFormat="1" x14ac:dyDescent="0.25"/>
    <row r="740" s="1" customFormat="1" x14ac:dyDescent="0.25"/>
    <row r="741" s="1" customFormat="1" x14ac:dyDescent="0.25"/>
    <row r="742" s="1" customFormat="1" x14ac:dyDescent="0.25"/>
    <row r="743" s="1" customFormat="1" x14ac:dyDescent="0.25"/>
    <row r="744" s="1" customFormat="1" x14ac:dyDescent="0.25"/>
    <row r="745" s="1" customFormat="1" x14ac:dyDescent="0.25"/>
    <row r="746" s="1" customFormat="1" x14ac:dyDescent="0.25"/>
    <row r="747" s="1" customFormat="1" x14ac:dyDescent="0.25"/>
    <row r="748" s="1" customFormat="1" x14ac:dyDescent="0.25"/>
    <row r="749" s="1" customFormat="1" x14ac:dyDescent="0.25"/>
    <row r="750" s="1" customFormat="1" x14ac:dyDescent="0.25"/>
    <row r="751" s="1" customFormat="1" x14ac:dyDescent="0.25"/>
    <row r="752" s="1" customFormat="1" x14ac:dyDescent="0.25"/>
    <row r="753" s="1" customFormat="1" x14ac:dyDescent="0.25"/>
    <row r="754" s="1" customFormat="1" x14ac:dyDescent="0.25"/>
    <row r="755" s="1" customFormat="1" x14ac:dyDescent="0.25"/>
    <row r="756" s="1" customFormat="1" x14ac:dyDescent="0.25"/>
    <row r="757" s="1" customFormat="1" x14ac:dyDescent="0.25"/>
    <row r="758" s="1" customFormat="1" x14ac:dyDescent="0.25"/>
    <row r="759" s="1" customFormat="1" x14ac:dyDescent="0.25"/>
    <row r="760" s="1" customFormat="1" x14ac:dyDescent="0.25"/>
    <row r="761" s="1" customFormat="1" x14ac:dyDescent="0.25"/>
    <row r="762" s="1" customFormat="1" x14ac:dyDescent="0.25"/>
    <row r="763" s="1" customFormat="1" x14ac:dyDescent="0.25"/>
    <row r="764" s="1" customFormat="1" x14ac:dyDescent="0.25"/>
    <row r="765" s="1" customFormat="1" x14ac:dyDescent="0.25"/>
    <row r="766" s="1" customFormat="1" x14ac:dyDescent="0.25"/>
    <row r="767" s="1" customFormat="1" x14ac:dyDescent="0.25"/>
    <row r="768" s="1" customFormat="1" x14ac:dyDescent="0.25"/>
    <row r="769" s="1" customFormat="1" x14ac:dyDescent="0.25"/>
    <row r="770" s="1" customFormat="1" x14ac:dyDescent="0.25"/>
    <row r="771" s="1" customFormat="1" x14ac:dyDescent="0.25"/>
    <row r="772" s="1" customFormat="1" x14ac:dyDescent="0.25"/>
    <row r="773" s="1" customFormat="1" x14ac:dyDescent="0.25"/>
    <row r="774" s="1" customFormat="1" x14ac:dyDescent="0.25"/>
    <row r="775" s="1" customFormat="1" x14ac:dyDescent="0.25"/>
    <row r="776" s="1" customFormat="1" x14ac:dyDescent="0.25"/>
    <row r="777" s="1" customFormat="1" x14ac:dyDescent="0.25"/>
    <row r="778" s="1" customFormat="1" x14ac:dyDescent="0.25"/>
    <row r="779" s="1" customFormat="1" x14ac:dyDescent="0.25"/>
    <row r="780" s="1" customFormat="1" x14ac:dyDescent="0.25"/>
    <row r="781" s="1" customFormat="1" x14ac:dyDescent="0.25"/>
    <row r="782" s="1" customFormat="1" x14ac:dyDescent="0.25"/>
    <row r="783" s="1" customFormat="1" x14ac:dyDescent="0.25"/>
    <row r="784" s="1" customFormat="1" x14ac:dyDescent="0.25"/>
    <row r="785" s="1" customFormat="1" x14ac:dyDescent="0.25"/>
    <row r="786" s="1" customFormat="1" x14ac:dyDescent="0.25"/>
    <row r="787" s="1" customFormat="1" x14ac:dyDescent="0.25"/>
    <row r="788" s="1" customFormat="1" x14ac:dyDescent="0.25"/>
    <row r="789" s="1" customFormat="1" x14ac:dyDescent="0.25"/>
    <row r="790" s="1" customFormat="1" x14ac:dyDescent="0.25"/>
    <row r="791" s="1" customFormat="1" x14ac:dyDescent="0.25"/>
    <row r="792" s="1" customFormat="1" x14ac:dyDescent="0.25"/>
    <row r="793" s="1" customFormat="1" x14ac:dyDescent="0.25"/>
    <row r="794" s="1" customFormat="1" x14ac:dyDescent="0.25"/>
    <row r="795" s="1" customFormat="1" x14ac:dyDescent="0.25"/>
    <row r="796" s="1" customFormat="1" x14ac:dyDescent="0.25"/>
    <row r="797" s="1" customFormat="1" x14ac:dyDescent="0.25"/>
    <row r="798" s="1" customFormat="1" x14ac:dyDescent="0.25"/>
    <row r="799" s="1" customFormat="1" x14ac:dyDescent="0.25"/>
    <row r="800" s="1" customFormat="1" x14ac:dyDescent="0.25"/>
    <row r="801" s="1" customFormat="1" x14ac:dyDescent="0.25"/>
    <row r="802" s="1" customFormat="1" x14ac:dyDescent="0.25"/>
    <row r="803" s="1" customFormat="1" x14ac:dyDescent="0.25"/>
    <row r="804" s="1" customFormat="1" x14ac:dyDescent="0.25"/>
    <row r="805" s="1" customFormat="1" x14ac:dyDescent="0.25"/>
    <row r="806" s="1" customFormat="1" x14ac:dyDescent="0.25"/>
    <row r="807" s="1" customFormat="1" x14ac:dyDescent="0.25"/>
    <row r="808" s="1" customFormat="1" x14ac:dyDescent="0.25"/>
    <row r="809" s="1" customFormat="1" x14ac:dyDescent="0.25"/>
    <row r="810" s="1" customFormat="1" x14ac:dyDescent="0.25"/>
    <row r="811" s="1" customFormat="1" x14ac:dyDescent="0.25"/>
    <row r="812" s="1" customFormat="1" x14ac:dyDescent="0.25"/>
    <row r="813" s="1" customFormat="1" x14ac:dyDescent="0.25"/>
    <row r="814" s="1" customFormat="1" x14ac:dyDescent="0.25"/>
    <row r="815" s="1" customFormat="1" x14ac:dyDescent="0.25"/>
    <row r="816" s="1" customFormat="1" x14ac:dyDescent="0.25"/>
    <row r="817" s="1" customFormat="1" x14ac:dyDescent="0.25"/>
    <row r="818" s="1" customFormat="1" x14ac:dyDescent="0.25"/>
    <row r="819" s="1" customFormat="1" x14ac:dyDescent="0.25"/>
    <row r="820" s="1" customFormat="1" x14ac:dyDescent="0.25"/>
    <row r="821" s="1" customFormat="1" x14ac:dyDescent="0.25"/>
    <row r="822" s="1" customFormat="1" x14ac:dyDescent="0.25"/>
    <row r="823" s="1" customFormat="1" x14ac:dyDescent="0.25"/>
    <row r="824" s="1" customFormat="1" x14ac:dyDescent="0.25"/>
    <row r="825" s="1" customFormat="1" x14ac:dyDescent="0.25"/>
    <row r="826" s="1" customFormat="1" x14ac:dyDescent="0.25"/>
    <row r="827" s="1" customFormat="1" x14ac:dyDescent="0.25"/>
    <row r="828" s="1" customFormat="1" x14ac:dyDescent="0.25"/>
    <row r="829" s="1" customFormat="1" x14ac:dyDescent="0.25"/>
    <row r="830" s="1" customFormat="1" x14ac:dyDescent="0.25"/>
    <row r="831" s="1" customFormat="1" x14ac:dyDescent="0.25"/>
    <row r="832" s="1" customFormat="1" x14ac:dyDescent="0.25"/>
    <row r="833" s="1" customFormat="1" x14ac:dyDescent="0.25"/>
    <row r="834" s="1" customFormat="1" x14ac:dyDescent="0.25"/>
    <row r="835" s="1" customFormat="1" x14ac:dyDescent="0.25"/>
    <row r="836" s="1" customFormat="1" x14ac:dyDescent="0.25"/>
    <row r="837" s="1" customFormat="1" x14ac:dyDescent="0.25"/>
    <row r="838" s="1" customFormat="1" x14ac:dyDescent="0.25"/>
    <row r="839" s="1" customFormat="1" x14ac:dyDescent="0.25"/>
    <row r="840" s="1" customFormat="1" x14ac:dyDescent="0.25"/>
    <row r="841" s="1" customFormat="1" x14ac:dyDescent="0.25"/>
    <row r="842" s="1" customFormat="1" x14ac:dyDescent="0.25"/>
    <row r="843" s="1" customFormat="1" x14ac:dyDescent="0.25"/>
    <row r="844" s="1" customFormat="1" x14ac:dyDescent="0.25"/>
    <row r="845" s="1" customFormat="1" x14ac:dyDescent="0.25"/>
    <row r="846" s="1" customFormat="1" x14ac:dyDescent="0.25"/>
    <row r="847" s="1" customFormat="1" x14ac:dyDescent="0.25"/>
    <row r="848" s="1" customFormat="1" x14ac:dyDescent="0.25"/>
    <row r="849" s="1" customFormat="1" x14ac:dyDescent="0.25"/>
    <row r="850" s="1" customFormat="1" x14ac:dyDescent="0.25"/>
    <row r="851" s="1" customFormat="1" x14ac:dyDescent="0.25"/>
    <row r="852" s="1" customFormat="1" x14ac:dyDescent="0.25"/>
    <row r="853" s="1" customFormat="1" x14ac:dyDescent="0.25"/>
    <row r="854" s="1" customFormat="1" x14ac:dyDescent="0.25"/>
    <row r="855" s="1" customFormat="1" x14ac:dyDescent="0.25"/>
    <row r="856" s="1" customFormat="1" x14ac:dyDescent="0.25"/>
    <row r="857" s="1" customFormat="1" x14ac:dyDescent="0.25"/>
    <row r="858" s="1" customFormat="1" x14ac:dyDescent="0.25"/>
    <row r="859" s="1" customFormat="1" x14ac:dyDescent="0.25"/>
    <row r="860" s="1" customFormat="1" x14ac:dyDescent="0.25"/>
    <row r="861" s="1" customFormat="1" x14ac:dyDescent="0.25"/>
    <row r="862" s="1" customFormat="1" x14ac:dyDescent="0.25"/>
    <row r="863" s="1" customFormat="1" x14ac:dyDescent="0.25"/>
    <row r="864" s="1" customFormat="1" x14ac:dyDescent="0.25"/>
    <row r="865" s="1" customFormat="1" x14ac:dyDescent="0.25"/>
    <row r="866" s="1" customFormat="1" x14ac:dyDescent="0.25"/>
    <row r="867" s="1" customFormat="1" x14ac:dyDescent="0.25"/>
    <row r="868" s="1" customFormat="1" x14ac:dyDescent="0.25"/>
    <row r="869" s="1" customFormat="1" x14ac:dyDescent="0.25"/>
    <row r="870" s="1" customFormat="1" x14ac:dyDescent="0.25"/>
    <row r="871" s="1" customFormat="1" x14ac:dyDescent="0.25"/>
    <row r="872" s="1" customFormat="1" x14ac:dyDescent="0.25"/>
    <row r="873" s="1" customFormat="1" x14ac:dyDescent="0.25"/>
    <row r="874" s="1" customFormat="1" x14ac:dyDescent="0.25"/>
    <row r="875" s="1" customFormat="1" x14ac:dyDescent="0.25"/>
    <row r="876" s="1" customFormat="1" x14ac:dyDescent="0.25"/>
    <row r="877" s="1" customFormat="1" x14ac:dyDescent="0.25"/>
    <row r="878" s="1" customFormat="1" x14ac:dyDescent="0.25"/>
    <row r="879" s="1" customFormat="1" x14ac:dyDescent="0.25"/>
    <row r="880" s="1" customFormat="1" x14ac:dyDescent="0.25"/>
    <row r="881" s="1" customFormat="1" x14ac:dyDescent="0.25"/>
    <row r="882" s="1" customFormat="1" x14ac:dyDescent="0.25"/>
    <row r="883" s="1" customFormat="1" x14ac:dyDescent="0.25"/>
    <row r="884" s="1" customFormat="1" x14ac:dyDescent="0.25"/>
    <row r="885" s="1" customFormat="1" x14ac:dyDescent="0.25"/>
    <row r="886" s="1" customFormat="1" x14ac:dyDescent="0.25"/>
    <row r="887" s="1" customFormat="1" x14ac:dyDescent="0.25"/>
    <row r="888" s="1" customFormat="1" x14ac:dyDescent="0.25"/>
    <row r="889" s="1" customFormat="1" x14ac:dyDescent="0.25"/>
    <row r="890" s="1" customFormat="1" x14ac:dyDescent="0.25"/>
    <row r="891" s="1" customFormat="1" x14ac:dyDescent="0.25"/>
    <row r="892" s="1" customFormat="1" x14ac:dyDescent="0.25"/>
    <row r="893" s="1" customFormat="1" x14ac:dyDescent="0.25"/>
    <row r="894" s="1" customFormat="1" x14ac:dyDescent="0.25"/>
    <row r="895" s="1" customFormat="1" x14ac:dyDescent="0.25"/>
    <row r="896" s="1" customFormat="1" x14ac:dyDescent="0.25"/>
    <row r="897" s="1" customFormat="1" x14ac:dyDescent="0.25"/>
    <row r="898" s="1" customFormat="1" x14ac:dyDescent="0.25"/>
    <row r="899" s="1" customFormat="1" x14ac:dyDescent="0.25"/>
    <row r="900" s="1" customFormat="1" x14ac:dyDescent="0.25"/>
    <row r="901" s="1" customFormat="1" x14ac:dyDescent="0.25"/>
    <row r="902" s="1" customFormat="1" x14ac:dyDescent="0.25"/>
    <row r="903" s="1" customFormat="1" x14ac:dyDescent="0.25"/>
    <row r="904" s="1" customFormat="1" x14ac:dyDescent="0.25"/>
    <row r="905" s="1" customFormat="1" x14ac:dyDescent="0.25"/>
    <row r="906" s="1" customFormat="1" x14ac:dyDescent="0.25"/>
    <row r="907" s="1" customFormat="1" x14ac:dyDescent="0.25"/>
    <row r="908" s="1" customFormat="1" x14ac:dyDescent="0.25"/>
    <row r="909" s="1" customFormat="1" x14ac:dyDescent="0.25"/>
    <row r="910" s="1" customFormat="1" x14ac:dyDescent="0.25"/>
    <row r="911" s="1" customFormat="1" x14ac:dyDescent="0.25"/>
    <row r="912" s="1" customFormat="1" x14ac:dyDescent="0.25"/>
    <row r="913" s="1" customFormat="1" x14ac:dyDescent="0.25"/>
    <row r="914" s="1" customFormat="1" x14ac:dyDescent="0.25"/>
    <row r="915" s="1" customFormat="1" x14ac:dyDescent="0.25"/>
    <row r="916" s="1" customFormat="1" x14ac:dyDescent="0.25"/>
    <row r="917" s="1" customFormat="1" x14ac:dyDescent="0.25"/>
    <row r="918" s="1" customFormat="1" x14ac:dyDescent="0.25"/>
    <row r="919" s="1" customFormat="1" x14ac:dyDescent="0.25"/>
    <row r="920" s="1" customFormat="1" x14ac:dyDescent="0.25"/>
    <row r="921" s="1" customFormat="1" x14ac:dyDescent="0.25"/>
    <row r="922" s="1" customFormat="1" x14ac:dyDescent="0.25"/>
    <row r="923" s="1" customFormat="1" x14ac:dyDescent="0.25"/>
    <row r="924" s="1" customFormat="1" x14ac:dyDescent="0.25"/>
    <row r="925" s="1" customFormat="1" x14ac:dyDescent="0.25"/>
    <row r="926" s="1" customFormat="1" x14ac:dyDescent="0.25"/>
    <row r="927" s="1" customFormat="1" x14ac:dyDescent="0.25"/>
    <row r="928" s="1" customFormat="1" x14ac:dyDescent="0.25"/>
    <row r="929" s="1" customFormat="1" x14ac:dyDescent="0.25"/>
    <row r="930" s="1" customFormat="1" x14ac:dyDescent="0.25"/>
    <row r="931" s="1" customFormat="1" x14ac:dyDescent="0.25"/>
    <row r="932" s="1" customFormat="1" x14ac:dyDescent="0.25"/>
    <row r="933" s="1" customFormat="1" x14ac:dyDescent="0.25"/>
    <row r="934" s="1" customFormat="1" x14ac:dyDescent="0.25"/>
    <row r="935" s="1" customFormat="1" x14ac:dyDescent="0.25"/>
    <row r="936" s="1" customFormat="1" x14ac:dyDescent="0.25"/>
    <row r="937" s="1" customFormat="1" x14ac:dyDescent="0.25"/>
    <row r="938" s="1" customFormat="1" x14ac:dyDescent="0.25"/>
    <row r="939" s="1" customFormat="1" x14ac:dyDescent="0.25"/>
    <row r="940" s="1" customFormat="1" x14ac:dyDescent="0.25"/>
  </sheetData>
  <mergeCells count="12">
    <mergeCell ref="M29:M37"/>
    <mergeCell ref="N29:N37"/>
    <mergeCell ref="O29:O37"/>
    <mergeCell ref="P29:P37"/>
    <mergeCell ref="A25:L25"/>
    <mergeCell ref="A24:I24"/>
    <mergeCell ref="A39:I39"/>
    <mergeCell ref="D1:H3"/>
    <mergeCell ref="K2:L2"/>
    <mergeCell ref="K3:L3"/>
    <mergeCell ref="A5:L5"/>
    <mergeCell ref="A18:I18"/>
  </mergeCells>
  <phoneticPr fontId="10" type="noConversion"/>
  <pageMargins left="0.7" right="0.7" top="0.75" bottom="0.75" header="0.3" footer="0.3"/>
  <pageSetup orientation="portrait" r:id="rId1"/>
  <headerFooter>
    <oddFooter>&amp;L_x000D_&amp;1#&amp;"Aptos"&amp;12&amp;K000000 Classification: Internal  داخلي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CE76-4BA7-4BDA-8FEB-80A3AA10A140}">
  <dimension ref="A1:AL57"/>
  <sheetViews>
    <sheetView tabSelected="1" topLeftCell="A2" zoomScale="83" workbookViewId="0">
      <selection activeCell="U47" sqref="U47"/>
    </sheetView>
  </sheetViews>
  <sheetFormatPr defaultRowHeight="15" x14ac:dyDescent="0.25"/>
  <cols>
    <col min="1" max="1" width="48.140625" bestFit="1" customWidth="1"/>
    <col min="2" max="2" width="14.140625" bestFit="1" customWidth="1"/>
    <col min="3" max="3" width="35.140625" bestFit="1" customWidth="1"/>
    <col min="9" max="9" width="36.5703125" bestFit="1" customWidth="1"/>
    <col min="10" max="10" width="12.7109375" bestFit="1" customWidth="1"/>
    <col min="11" max="11" width="12.85546875" bestFit="1" customWidth="1"/>
    <col min="12" max="12" width="12.5703125" bestFit="1" customWidth="1"/>
    <col min="13" max="13" width="11.42578125" bestFit="1" customWidth="1"/>
    <col min="14" max="14" width="10.42578125" bestFit="1" customWidth="1"/>
    <col min="15" max="15" width="11.5703125" bestFit="1" customWidth="1"/>
    <col min="16" max="16" width="10.7109375" bestFit="1" customWidth="1"/>
    <col min="17" max="17" width="10" bestFit="1" customWidth="1"/>
    <col min="18" max="18" width="8.28515625" bestFit="1" customWidth="1"/>
    <col min="19" max="20" width="11.5703125" bestFit="1" customWidth="1"/>
    <col min="21" max="21" width="10.7109375" bestFit="1" customWidth="1"/>
  </cols>
  <sheetData>
    <row r="1" spans="1:38" ht="16.5" x14ac:dyDescent="0.3">
      <c r="A1" s="8"/>
      <c r="B1" s="8"/>
      <c r="C1" s="8"/>
      <c r="D1" s="100" t="s">
        <v>58</v>
      </c>
      <c r="E1" s="100"/>
      <c r="F1" s="100"/>
      <c r="G1" s="100"/>
      <c r="H1" s="100"/>
      <c r="I1" s="8"/>
      <c r="J1" s="8"/>
      <c r="K1" s="8"/>
      <c r="L1" s="8"/>
    </row>
    <row r="2" spans="1:38" x14ac:dyDescent="0.25">
      <c r="A2" s="2" t="s">
        <v>8</v>
      </c>
      <c r="B2" s="3" t="s">
        <v>63</v>
      </c>
      <c r="C2" t="s">
        <v>61</v>
      </c>
      <c r="D2" s="100"/>
      <c r="E2" s="100"/>
      <c r="F2" s="100"/>
      <c r="G2" s="100"/>
      <c r="H2" s="100"/>
      <c r="I2" s="2" t="s">
        <v>41</v>
      </c>
      <c r="J2" s="5">
        <v>921200</v>
      </c>
      <c r="K2" s="102" t="s">
        <v>60</v>
      </c>
      <c r="L2" s="102"/>
    </row>
    <row r="3" spans="1:38" x14ac:dyDescent="0.25">
      <c r="A3" s="4" t="s">
        <v>9</v>
      </c>
      <c r="B3" s="4" t="s">
        <v>62</v>
      </c>
      <c r="C3" t="s">
        <v>59</v>
      </c>
      <c r="D3" s="101"/>
      <c r="E3" s="101"/>
      <c r="F3" s="101"/>
      <c r="G3" s="101"/>
      <c r="H3" s="101"/>
      <c r="I3" s="4" t="s">
        <v>10</v>
      </c>
      <c r="J3" s="6">
        <f>J2-L47</f>
        <v>25.991000000038184</v>
      </c>
      <c r="K3" s="102" t="s">
        <v>60</v>
      </c>
      <c r="L3" s="102"/>
    </row>
    <row r="4" spans="1:38" ht="65.25" x14ac:dyDescent="0.3">
      <c r="A4" s="7" t="s">
        <v>6</v>
      </c>
      <c r="B4" s="7" t="s">
        <v>24</v>
      </c>
      <c r="C4" s="7" t="s">
        <v>0</v>
      </c>
      <c r="D4" s="7" t="s">
        <v>1</v>
      </c>
      <c r="E4" s="7" t="s">
        <v>2</v>
      </c>
      <c r="F4" s="7" t="s">
        <v>3</v>
      </c>
      <c r="G4" s="7" t="s">
        <v>4</v>
      </c>
      <c r="H4" s="7" t="s">
        <v>5</v>
      </c>
      <c r="I4" s="7" t="s">
        <v>45</v>
      </c>
      <c r="J4" s="7" t="s">
        <v>7</v>
      </c>
      <c r="K4" s="7" t="s">
        <v>42</v>
      </c>
      <c r="L4" s="7" t="s">
        <v>43</v>
      </c>
      <c r="M4" s="37" t="s">
        <v>115</v>
      </c>
      <c r="N4" s="37" t="s">
        <v>116</v>
      </c>
      <c r="O4" s="37" t="s">
        <v>117</v>
      </c>
      <c r="P4" s="37" t="s">
        <v>118</v>
      </c>
      <c r="Q4" s="37" t="s">
        <v>119</v>
      </c>
      <c r="R4" s="37" t="s">
        <v>120</v>
      </c>
      <c r="S4" s="38" t="s">
        <v>121</v>
      </c>
      <c r="T4" s="38" t="s">
        <v>122</v>
      </c>
      <c r="U4" s="37" t="s">
        <v>123</v>
      </c>
      <c r="V4" s="98" t="s">
        <v>124</v>
      </c>
      <c r="W4" s="99"/>
      <c r="X4" s="99"/>
      <c r="Y4" s="99"/>
      <c r="Z4" s="99"/>
      <c r="AA4" s="99"/>
      <c r="AB4" s="99"/>
      <c r="AC4" s="99"/>
      <c r="AD4" s="99"/>
      <c r="AE4" s="99"/>
      <c r="AF4" s="99"/>
      <c r="AG4" s="99"/>
      <c r="AH4" s="99"/>
      <c r="AI4" s="99"/>
      <c r="AJ4" s="99"/>
      <c r="AK4" s="99"/>
      <c r="AL4" s="99"/>
    </row>
    <row r="5" spans="1:38" ht="15.75" x14ac:dyDescent="0.3">
      <c r="A5" s="103"/>
      <c r="B5" s="103"/>
      <c r="C5" s="103"/>
      <c r="D5" s="103"/>
      <c r="E5" s="103"/>
      <c r="F5" s="103"/>
      <c r="G5" s="103"/>
      <c r="H5" s="103"/>
      <c r="I5" s="103"/>
      <c r="J5" s="103"/>
      <c r="K5" s="103"/>
      <c r="L5" s="103"/>
      <c r="M5" s="39"/>
      <c r="N5" s="39"/>
      <c r="O5" s="39"/>
      <c r="P5" s="39"/>
      <c r="Q5" s="39"/>
      <c r="R5" s="39"/>
      <c r="S5" s="39"/>
      <c r="T5" s="39"/>
      <c r="U5" s="39"/>
      <c r="V5" s="40" t="s">
        <v>136</v>
      </c>
      <c r="W5" s="58" t="s">
        <v>125</v>
      </c>
      <c r="X5" s="40" t="s">
        <v>126</v>
      </c>
      <c r="Y5" s="58" t="s">
        <v>127</v>
      </c>
      <c r="Z5" s="40" t="s">
        <v>128</v>
      </c>
      <c r="AA5" s="58" t="s">
        <v>129</v>
      </c>
      <c r="AB5" s="40" t="s">
        <v>130</v>
      </c>
      <c r="AC5" s="58" t="s">
        <v>131</v>
      </c>
      <c r="AD5" s="59" t="s">
        <v>132</v>
      </c>
      <c r="AE5" s="58" t="s">
        <v>133</v>
      </c>
      <c r="AF5" s="40" t="s">
        <v>134</v>
      </c>
      <c r="AG5" s="58" t="s">
        <v>135</v>
      </c>
      <c r="AH5" s="40" t="s">
        <v>136</v>
      </c>
      <c r="AI5" s="58" t="s">
        <v>125</v>
      </c>
      <c r="AJ5" s="40" t="s">
        <v>126</v>
      </c>
      <c r="AK5" s="58" t="s">
        <v>127</v>
      </c>
      <c r="AL5" s="40" t="s">
        <v>128</v>
      </c>
    </row>
    <row r="6" spans="1:38" ht="15.75" hidden="1" x14ac:dyDescent="0.3">
      <c r="A6" s="10" t="s">
        <v>12</v>
      </c>
      <c r="B6" s="10" t="s">
        <v>25</v>
      </c>
      <c r="C6" s="10" t="s">
        <v>27</v>
      </c>
      <c r="D6" s="10" t="s">
        <v>38</v>
      </c>
      <c r="E6" s="11">
        <v>1</v>
      </c>
      <c r="F6" s="11">
        <v>12</v>
      </c>
      <c r="G6" s="11" t="s">
        <v>39</v>
      </c>
      <c r="H6" s="12">
        <v>3500</v>
      </c>
      <c r="I6" s="13">
        <v>0</v>
      </c>
      <c r="J6" s="12">
        <f>E6*F6*H6*I6</f>
        <v>0</v>
      </c>
      <c r="K6" s="12">
        <f>J6*1.23</f>
        <v>0</v>
      </c>
      <c r="L6" s="12">
        <f>J6*1.41</f>
        <v>0</v>
      </c>
      <c r="M6" s="41" t="str">
        <f>[1]BUDGET!N6</f>
        <v>Start Date</v>
      </c>
      <c r="N6" s="41"/>
      <c r="O6" s="41" t="e">
        <f>M6-N6</f>
        <v>#VALUE!</v>
      </c>
      <c r="P6" s="42" t="e">
        <f>N6/M6</f>
        <v>#VALUE!</v>
      </c>
      <c r="Q6" s="41">
        <f>SUM(V6:AL6)</f>
        <v>0</v>
      </c>
      <c r="R6" s="43"/>
      <c r="S6" s="41">
        <f>N6+Q6+R6</f>
        <v>0</v>
      </c>
      <c r="T6" s="41" t="e">
        <f>M6-S6</f>
        <v>#VALUE!</v>
      </c>
      <c r="U6" s="42" t="e">
        <f>S6/M6</f>
        <v>#VALUE!</v>
      </c>
      <c r="V6" s="57"/>
      <c r="W6" s="57"/>
      <c r="X6" s="57"/>
      <c r="Y6" s="57"/>
      <c r="Z6" s="57"/>
      <c r="AA6" s="57"/>
      <c r="AB6" s="57"/>
      <c r="AC6" s="57"/>
      <c r="AD6" s="57"/>
      <c r="AE6" s="57"/>
      <c r="AF6" s="57"/>
      <c r="AG6" s="57"/>
      <c r="AH6" s="57"/>
      <c r="AI6" s="57"/>
      <c r="AJ6" s="57"/>
      <c r="AK6" s="57"/>
      <c r="AL6" s="57"/>
    </row>
    <row r="7" spans="1:38" ht="15.75" hidden="1" x14ac:dyDescent="0.3">
      <c r="A7" s="10" t="s">
        <v>13</v>
      </c>
      <c r="B7" s="10" t="s">
        <v>26</v>
      </c>
      <c r="C7" s="10" t="s">
        <v>28</v>
      </c>
      <c r="D7" s="10" t="s">
        <v>38</v>
      </c>
      <c r="E7" s="11">
        <v>1</v>
      </c>
      <c r="F7" s="11">
        <v>12</v>
      </c>
      <c r="G7" s="11" t="s">
        <v>39</v>
      </c>
      <c r="H7" s="12">
        <v>2100</v>
      </c>
      <c r="I7" s="13">
        <v>0</v>
      </c>
      <c r="J7" s="12">
        <f t="shared" ref="J7:J17" si="0">E7*F7*H7*I7</f>
        <v>0</v>
      </c>
      <c r="K7" s="12">
        <f t="shared" ref="K7:K18" si="1">J7*1.23</f>
        <v>0</v>
      </c>
      <c r="L7" s="12">
        <f t="shared" ref="L7:L18" si="2">J7*1.41</f>
        <v>0</v>
      </c>
      <c r="M7" s="41">
        <f>[1]BUDGET!N7</f>
        <v>0</v>
      </c>
      <c r="N7" s="43"/>
      <c r="O7" s="41">
        <f t="shared" ref="O7:O47" si="3">M7-N7</f>
        <v>0</v>
      </c>
      <c r="P7" s="42" t="e">
        <f t="shared" ref="P7:P47" si="4">N7/M7</f>
        <v>#DIV/0!</v>
      </c>
      <c r="Q7" s="41">
        <f t="shared" ref="Q7:Q47" si="5">SUM(V7:AL7)</f>
        <v>0</v>
      </c>
      <c r="R7" s="43"/>
      <c r="S7" s="41">
        <f t="shared" ref="S7:S47" si="6">N7+Q7+R7</f>
        <v>0</v>
      </c>
      <c r="T7" s="41">
        <f t="shared" ref="T7:T47" si="7">M7-S7</f>
        <v>0</v>
      </c>
      <c r="U7" s="42" t="e">
        <f t="shared" ref="U7:U47" si="8">S7/M7</f>
        <v>#DIV/0!</v>
      </c>
      <c r="V7" s="44"/>
      <c r="W7" s="44"/>
      <c r="X7" s="44"/>
      <c r="Y7" s="44"/>
      <c r="Z7" s="44"/>
      <c r="AA7" s="44"/>
      <c r="AB7" s="44"/>
      <c r="AC7" s="44"/>
      <c r="AD7" s="44"/>
      <c r="AE7" s="44"/>
      <c r="AF7" s="44"/>
      <c r="AG7" s="44"/>
      <c r="AH7" s="44"/>
      <c r="AI7" s="44"/>
      <c r="AJ7" s="44"/>
      <c r="AK7" s="44"/>
      <c r="AL7" s="44"/>
    </row>
    <row r="8" spans="1:38" ht="15.75" hidden="1" x14ac:dyDescent="0.3">
      <c r="A8" s="10" t="s">
        <v>14</v>
      </c>
      <c r="B8" s="10" t="s">
        <v>25</v>
      </c>
      <c r="C8" s="10" t="s">
        <v>29</v>
      </c>
      <c r="D8" s="10" t="s">
        <v>38</v>
      </c>
      <c r="E8" s="11">
        <v>1</v>
      </c>
      <c r="F8" s="11">
        <v>12</v>
      </c>
      <c r="G8" s="11" t="s">
        <v>39</v>
      </c>
      <c r="H8" s="12">
        <v>1200</v>
      </c>
      <c r="I8" s="13">
        <v>0</v>
      </c>
      <c r="J8" s="12">
        <f t="shared" si="0"/>
        <v>0</v>
      </c>
      <c r="K8" s="12">
        <f t="shared" si="1"/>
        <v>0</v>
      </c>
      <c r="L8" s="12">
        <f t="shared" si="2"/>
        <v>0</v>
      </c>
      <c r="M8" s="41" t="str">
        <f>[1]BUDGET!N8</f>
        <v>Milestone 4</v>
      </c>
      <c r="N8" s="43"/>
      <c r="O8" s="41" t="e">
        <f t="shared" si="3"/>
        <v>#VALUE!</v>
      </c>
      <c r="P8" s="42" t="e">
        <f t="shared" si="4"/>
        <v>#VALUE!</v>
      </c>
      <c r="Q8" s="41">
        <f t="shared" si="5"/>
        <v>0</v>
      </c>
      <c r="R8" s="43"/>
      <c r="S8" s="41">
        <f t="shared" si="6"/>
        <v>0</v>
      </c>
      <c r="T8" s="41" t="e">
        <f t="shared" si="7"/>
        <v>#VALUE!</v>
      </c>
      <c r="U8" s="42" t="e">
        <f t="shared" si="8"/>
        <v>#VALUE!</v>
      </c>
      <c r="V8" s="44"/>
      <c r="W8" s="44"/>
      <c r="X8" s="44"/>
      <c r="Y8" s="44"/>
      <c r="Z8" s="44"/>
      <c r="AA8" s="44"/>
      <c r="AB8" s="44"/>
      <c r="AC8" s="44"/>
      <c r="AD8" s="44"/>
      <c r="AE8" s="44"/>
      <c r="AF8" s="44"/>
      <c r="AG8" s="44"/>
      <c r="AH8" s="44"/>
      <c r="AI8" s="44"/>
      <c r="AJ8" s="44"/>
      <c r="AK8" s="44"/>
      <c r="AL8" s="44"/>
    </row>
    <row r="9" spans="1:38" ht="15.75" hidden="1" x14ac:dyDescent="0.3">
      <c r="A9" s="10" t="s">
        <v>15</v>
      </c>
      <c r="B9" s="10" t="s">
        <v>26</v>
      </c>
      <c r="C9" s="10" t="s">
        <v>30</v>
      </c>
      <c r="D9" s="10" t="s">
        <v>38</v>
      </c>
      <c r="E9" s="11">
        <v>1</v>
      </c>
      <c r="F9" s="11">
        <v>12</v>
      </c>
      <c r="G9" s="11" t="s">
        <v>39</v>
      </c>
      <c r="H9" s="12">
        <v>700</v>
      </c>
      <c r="I9" s="13">
        <v>0</v>
      </c>
      <c r="J9" s="12">
        <f t="shared" si="0"/>
        <v>0</v>
      </c>
      <c r="K9" s="12">
        <f t="shared" si="1"/>
        <v>0</v>
      </c>
      <c r="L9" s="12">
        <f t="shared" si="2"/>
        <v>0</v>
      </c>
      <c r="M9" s="41">
        <f>[1]BUDGET!N9</f>
        <v>0</v>
      </c>
      <c r="N9" s="43"/>
      <c r="O9" s="41">
        <f t="shared" si="3"/>
        <v>0</v>
      </c>
      <c r="P9" s="42" t="e">
        <f t="shared" si="4"/>
        <v>#DIV/0!</v>
      </c>
      <c r="Q9" s="41">
        <f t="shared" si="5"/>
        <v>0</v>
      </c>
      <c r="R9" s="43"/>
      <c r="S9" s="41">
        <f t="shared" si="6"/>
        <v>0</v>
      </c>
      <c r="T9" s="41">
        <f t="shared" si="7"/>
        <v>0</v>
      </c>
      <c r="U9" s="42" t="e">
        <f t="shared" si="8"/>
        <v>#DIV/0!</v>
      </c>
      <c r="V9" s="44"/>
      <c r="W9" s="44"/>
      <c r="X9" s="44"/>
      <c r="Y9" s="44"/>
      <c r="Z9" s="44"/>
      <c r="AA9" s="44"/>
      <c r="AB9" s="44"/>
      <c r="AC9" s="44"/>
      <c r="AD9" s="44"/>
      <c r="AE9" s="44"/>
      <c r="AF9" s="44"/>
      <c r="AG9" s="44"/>
      <c r="AH9" s="44"/>
      <c r="AI9" s="44"/>
      <c r="AJ9" s="44"/>
      <c r="AK9" s="44"/>
      <c r="AL9" s="44"/>
    </row>
    <row r="10" spans="1:38" ht="15.75" hidden="1" x14ac:dyDescent="0.3">
      <c r="A10" s="10" t="s">
        <v>16</v>
      </c>
      <c r="B10" s="10" t="s">
        <v>26</v>
      </c>
      <c r="C10" s="10" t="s">
        <v>30</v>
      </c>
      <c r="D10" s="10" t="s">
        <v>38</v>
      </c>
      <c r="E10" s="11">
        <v>1</v>
      </c>
      <c r="F10" s="11">
        <v>12</v>
      </c>
      <c r="G10" s="11" t="s">
        <v>39</v>
      </c>
      <c r="H10" s="12">
        <v>700</v>
      </c>
      <c r="I10" s="13">
        <v>0</v>
      </c>
      <c r="J10" s="12">
        <f t="shared" si="0"/>
        <v>0</v>
      </c>
      <c r="K10" s="12">
        <f t="shared" si="1"/>
        <v>0</v>
      </c>
      <c r="L10" s="12">
        <f t="shared" si="2"/>
        <v>0</v>
      </c>
      <c r="M10" s="41">
        <f>[1]BUDGET!N10</f>
        <v>0</v>
      </c>
      <c r="N10" s="43"/>
      <c r="O10" s="41">
        <f t="shared" si="3"/>
        <v>0</v>
      </c>
      <c r="P10" s="42" t="e">
        <f t="shared" si="4"/>
        <v>#DIV/0!</v>
      </c>
      <c r="Q10" s="41">
        <f t="shared" si="5"/>
        <v>0</v>
      </c>
      <c r="R10" s="43"/>
      <c r="S10" s="41">
        <f t="shared" si="6"/>
        <v>0</v>
      </c>
      <c r="T10" s="41">
        <f t="shared" si="7"/>
        <v>0</v>
      </c>
      <c r="U10" s="42" t="e">
        <f t="shared" si="8"/>
        <v>#DIV/0!</v>
      </c>
      <c r="V10" s="44"/>
      <c r="W10" s="44"/>
      <c r="X10" s="44"/>
      <c r="Y10" s="44"/>
      <c r="Z10" s="44"/>
      <c r="AA10" s="44"/>
      <c r="AB10" s="44"/>
      <c r="AC10" s="44"/>
      <c r="AD10" s="44"/>
      <c r="AE10" s="44"/>
      <c r="AF10" s="44"/>
      <c r="AG10" s="44"/>
      <c r="AH10" s="44"/>
      <c r="AI10" s="44"/>
      <c r="AJ10" s="44"/>
      <c r="AK10" s="44"/>
      <c r="AL10" s="44"/>
    </row>
    <row r="11" spans="1:38" ht="15.75" hidden="1" x14ac:dyDescent="0.3">
      <c r="A11" s="10" t="s">
        <v>17</v>
      </c>
      <c r="B11" s="10" t="s">
        <v>25</v>
      </c>
      <c r="C11" s="10" t="s">
        <v>31</v>
      </c>
      <c r="D11" s="10" t="s">
        <v>38</v>
      </c>
      <c r="E11" s="11">
        <v>1</v>
      </c>
      <c r="F11" s="11">
        <v>12</v>
      </c>
      <c r="G11" s="11" t="s">
        <v>39</v>
      </c>
      <c r="H11" s="12">
        <v>1500</v>
      </c>
      <c r="I11" s="13">
        <v>0</v>
      </c>
      <c r="J11" s="12">
        <f t="shared" si="0"/>
        <v>0</v>
      </c>
      <c r="K11" s="12">
        <f t="shared" si="1"/>
        <v>0</v>
      </c>
      <c r="L11" s="12">
        <f t="shared" si="2"/>
        <v>0</v>
      </c>
      <c r="M11" s="41">
        <f>[1]BUDGET!N11</f>
        <v>0</v>
      </c>
      <c r="N11" s="43"/>
      <c r="O11" s="41">
        <f t="shared" si="3"/>
        <v>0</v>
      </c>
      <c r="P11" s="42" t="e">
        <f t="shared" si="4"/>
        <v>#DIV/0!</v>
      </c>
      <c r="Q11" s="41">
        <f t="shared" si="5"/>
        <v>0</v>
      </c>
      <c r="R11" s="43"/>
      <c r="S11" s="41">
        <f t="shared" si="6"/>
        <v>0</v>
      </c>
      <c r="T11" s="41">
        <f t="shared" si="7"/>
        <v>0</v>
      </c>
      <c r="U11" s="42" t="e">
        <f t="shared" si="8"/>
        <v>#DIV/0!</v>
      </c>
      <c r="V11" s="44"/>
      <c r="W11" s="44"/>
      <c r="X11" s="44"/>
      <c r="Y11" s="44"/>
      <c r="Z11" s="44"/>
      <c r="AA11" s="44"/>
      <c r="AB11" s="44"/>
      <c r="AC11" s="44"/>
      <c r="AD11" s="44"/>
      <c r="AE11" s="44"/>
      <c r="AF11" s="44"/>
      <c r="AG11" s="44"/>
      <c r="AH11" s="44"/>
      <c r="AI11" s="44"/>
      <c r="AJ11" s="44"/>
      <c r="AK11" s="44"/>
      <c r="AL11" s="44"/>
    </row>
    <row r="12" spans="1:38" ht="15.75" hidden="1" x14ac:dyDescent="0.3">
      <c r="A12" s="10" t="s">
        <v>18</v>
      </c>
      <c r="B12" s="10" t="s">
        <v>25</v>
      </c>
      <c r="C12" s="10" t="s">
        <v>32</v>
      </c>
      <c r="D12" s="10" t="s">
        <v>38</v>
      </c>
      <c r="E12" s="11">
        <v>1</v>
      </c>
      <c r="F12" s="11">
        <v>12</v>
      </c>
      <c r="G12" s="11" t="s">
        <v>39</v>
      </c>
      <c r="H12" s="12">
        <v>3500</v>
      </c>
      <c r="I12" s="13">
        <v>0</v>
      </c>
      <c r="J12" s="12">
        <f t="shared" si="0"/>
        <v>0</v>
      </c>
      <c r="K12" s="12">
        <f t="shared" si="1"/>
        <v>0</v>
      </c>
      <c r="L12" s="12">
        <f t="shared" si="2"/>
        <v>0</v>
      </c>
      <c r="M12" s="41">
        <f>[1]BUDGET!N12</f>
        <v>0</v>
      </c>
      <c r="N12" s="43"/>
      <c r="O12" s="41">
        <f t="shared" si="3"/>
        <v>0</v>
      </c>
      <c r="P12" s="42" t="e">
        <f t="shared" si="4"/>
        <v>#DIV/0!</v>
      </c>
      <c r="Q12" s="41">
        <f t="shared" si="5"/>
        <v>0</v>
      </c>
      <c r="R12" s="43"/>
      <c r="S12" s="41">
        <f t="shared" si="6"/>
        <v>0</v>
      </c>
      <c r="T12" s="41">
        <f t="shared" si="7"/>
        <v>0</v>
      </c>
      <c r="U12" s="42" t="e">
        <f t="shared" si="8"/>
        <v>#DIV/0!</v>
      </c>
      <c r="V12" s="44"/>
      <c r="W12" s="44"/>
      <c r="X12" s="44"/>
      <c r="Y12" s="44"/>
      <c r="Z12" s="44"/>
      <c r="AA12" s="44"/>
      <c r="AB12" s="44"/>
      <c r="AC12" s="44"/>
      <c r="AD12" s="44"/>
      <c r="AE12" s="44"/>
      <c r="AF12" s="44"/>
      <c r="AG12" s="44"/>
      <c r="AH12" s="44"/>
      <c r="AI12" s="44"/>
      <c r="AJ12" s="44"/>
      <c r="AK12" s="44"/>
      <c r="AL12" s="44"/>
    </row>
    <row r="13" spans="1:38" ht="15.75" hidden="1" x14ac:dyDescent="0.3">
      <c r="A13" s="10" t="s">
        <v>19</v>
      </c>
      <c r="B13" s="10" t="s">
        <v>25</v>
      </c>
      <c r="C13" s="10" t="s">
        <v>33</v>
      </c>
      <c r="D13" s="10" t="s">
        <v>38</v>
      </c>
      <c r="E13" s="11">
        <v>1</v>
      </c>
      <c r="F13" s="11">
        <v>12</v>
      </c>
      <c r="G13" s="11" t="s">
        <v>39</v>
      </c>
      <c r="H13" s="12">
        <v>550</v>
      </c>
      <c r="I13" s="13">
        <v>0</v>
      </c>
      <c r="J13" s="12">
        <f t="shared" si="0"/>
        <v>0</v>
      </c>
      <c r="K13" s="12">
        <f t="shared" si="1"/>
        <v>0</v>
      </c>
      <c r="L13" s="12">
        <f t="shared" si="2"/>
        <v>0</v>
      </c>
      <c r="M13" s="41">
        <f>[1]BUDGET!N13</f>
        <v>0</v>
      </c>
      <c r="N13" s="43"/>
      <c r="O13" s="41">
        <f t="shared" si="3"/>
        <v>0</v>
      </c>
      <c r="P13" s="42" t="e">
        <f t="shared" si="4"/>
        <v>#DIV/0!</v>
      </c>
      <c r="Q13" s="41">
        <f t="shared" si="5"/>
        <v>0</v>
      </c>
      <c r="R13" s="43"/>
      <c r="S13" s="41">
        <f t="shared" si="6"/>
        <v>0</v>
      </c>
      <c r="T13" s="41">
        <f t="shared" si="7"/>
        <v>0</v>
      </c>
      <c r="U13" s="42" t="e">
        <f t="shared" si="8"/>
        <v>#DIV/0!</v>
      </c>
      <c r="V13" s="44"/>
      <c r="W13" s="44"/>
      <c r="X13" s="44"/>
      <c r="Y13" s="44"/>
      <c r="Z13" s="44"/>
      <c r="AA13" s="44"/>
      <c r="AB13" s="44"/>
      <c r="AC13" s="44"/>
      <c r="AD13" s="44"/>
      <c r="AE13" s="44"/>
      <c r="AF13" s="44"/>
      <c r="AG13" s="44"/>
      <c r="AH13" s="44"/>
      <c r="AI13" s="44"/>
      <c r="AJ13" s="44"/>
      <c r="AK13" s="44"/>
      <c r="AL13" s="44"/>
    </row>
    <row r="14" spans="1:38" ht="15.75" hidden="1" x14ac:dyDescent="0.3">
      <c r="A14" s="10" t="s">
        <v>20</v>
      </c>
      <c r="B14" s="10" t="s">
        <v>25</v>
      </c>
      <c r="C14" s="10" t="s">
        <v>34</v>
      </c>
      <c r="D14" s="10" t="s">
        <v>38</v>
      </c>
      <c r="E14" s="11">
        <v>1</v>
      </c>
      <c r="F14" s="11">
        <v>12</v>
      </c>
      <c r="G14" s="11" t="s">
        <v>39</v>
      </c>
      <c r="H14" s="12">
        <v>300</v>
      </c>
      <c r="I14" s="13">
        <v>0</v>
      </c>
      <c r="J14" s="12">
        <f t="shared" si="0"/>
        <v>0</v>
      </c>
      <c r="K14" s="12">
        <f t="shared" si="1"/>
        <v>0</v>
      </c>
      <c r="L14" s="12">
        <f t="shared" si="2"/>
        <v>0</v>
      </c>
      <c r="M14" s="41">
        <f>[1]BUDGET!N14</f>
        <v>0</v>
      </c>
      <c r="N14" s="43"/>
      <c r="O14" s="41">
        <f t="shared" si="3"/>
        <v>0</v>
      </c>
      <c r="P14" s="42" t="e">
        <f t="shared" si="4"/>
        <v>#DIV/0!</v>
      </c>
      <c r="Q14" s="41">
        <f t="shared" si="5"/>
        <v>0</v>
      </c>
      <c r="R14" s="43"/>
      <c r="S14" s="41">
        <f t="shared" si="6"/>
        <v>0</v>
      </c>
      <c r="T14" s="41">
        <f t="shared" si="7"/>
        <v>0</v>
      </c>
      <c r="U14" s="42" t="e">
        <f t="shared" si="8"/>
        <v>#DIV/0!</v>
      </c>
      <c r="V14" s="44"/>
      <c r="W14" s="44"/>
      <c r="X14" s="44"/>
      <c r="Y14" s="44"/>
      <c r="Z14" s="44"/>
      <c r="AA14" s="44"/>
      <c r="AB14" s="44"/>
      <c r="AC14" s="44"/>
      <c r="AD14" s="44"/>
      <c r="AE14" s="44"/>
      <c r="AF14" s="44"/>
      <c r="AG14" s="44"/>
      <c r="AH14" s="44"/>
      <c r="AI14" s="44"/>
      <c r="AJ14" s="44"/>
      <c r="AK14" s="44"/>
      <c r="AL14" s="44"/>
    </row>
    <row r="15" spans="1:38" ht="15.75" hidden="1" x14ac:dyDescent="0.3">
      <c r="A15" s="10" t="s">
        <v>21</v>
      </c>
      <c r="B15" s="10" t="s">
        <v>25</v>
      </c>
      <c r="C15" s="10" t="s">
        <v>35</v>
      </c>
      <c r="D15" s="10" t="s">
        <v>38</v>
      </c>
      <c r="E15" s="11">
        <v>1</v>
      </c>
      <c r="F15" s="11">
        <v>12</v>
      </c>
      <c r="G15" s="11" t="s">
        <v>39</v>
      </c>
      <c r="H15" s="12">
        <v>900</v>
      </c>
      <c r="I15" s="13">
        <v>0</v>
      </c>
      <c r="J15" s="12">
        <f t="shared" si="0"/>
        <v>0</v>
      </c>
      <c r="K15" s="12">
        <f t="shared" si="1"/>
        <v>0</v>
      </c>
      <c r="L15" s="12">
        <f t="shared" si="2"/>
        <v>0</v>
      </c>
      <c r="M15" s="41">
        <f>[1]BUDGET!N15</f>
        <v>0</v>
      </c>
      <c r="N15" s="43"/>
      <c r="O15" s="41">
        <f t="shared" si="3"/>
        <v>0</v>
      </c>
      <c r="P15" s="42" t="e">
        <f t="shared" si="4"/>
        <v>#DIV/0!</v>
      </c>
      <c r="Q15" s="41">
        <f t="shared" si="5"/>
        <v>0</v>
      </c>
      <c r="R15" s="43"/>
      <c r="S15" s="41">
        <f t="shared" si="6"/>
        <v>0</v>
      </c>
      <c r="T15" s="41">
        <f t="shared" si="7"/>
        <v>0</v>
      </c>
      <c r="U15" s="42" t="e">
        <f t="shared" si="8"/>
        <v>#DIV/0!</v>
      </c>
      <c r="V15" s="44"/>
      <c r="W15" s="45"/>
      <c r="X15" s="45"/>
      <c r="Y15" s="45"/>
      <c r="Z15" s="45"/>
      <c r="AA15" s="45"/>
      <c r="AB15" s="45"/>
      <c r="AC15" s="45"/>
      <c r="AD15" s="45"/>
      <c r="AE15" s="45"/>
      <c r="AF15" s="45"/>
      <c r="AG15" s="45"/>
      <c r="AH15" s="45"/>
      <c r="AI15" s="45"/>
      <c r="AJ15" s="45"/>
      <c r="AK15" s="45"/>
      <c r="AL15" s="45"/>
    </row>
    <row r="16" spans="1:38" ht="15.75" hidden="1" x14ac:dyDescent="0.3">
      <c r="A16" s="10" t="s">
        <v>22</v>
      </c>
      <c r="B16" s="10" t="s">
        <v>25</v>
      </c>
      <c r="C16" s="10" t="s">
        <v>36</v>
      </c>
      <c r="D16" s="10" t="s">
        <v>40</v>
      </c>
      <c r="E16" s="11">
        <v>1</v>
      </c>
      <c r="F16" s="11">
        <v>1</v>
      </c>
      <c r="G16" s="11" t="s">
        <v>39</v>
      </c>
      <c r="H16" s="12">
        <v>10000</v>
      </c>
      <c r="I16" s="13">
        <v>0</v>
      </c>
      <c r="J16" s="12">
        <f t="shared" si="0"/>
        <v>0</v>
      </c>
      <c r="K16" s="12">
        <f t="shared" si="1"/>
        <v>0</v>
      </c>
      <c r="L16" s="12">
        <f t="shared" si="2"/>
        <v>0</v>
      </c>
      <c r="M16" s="41">
        <f>[1]BUDGET!N16</f>
        <v>0</v>
      </c>
      <c r="N16" s="43"/>
      <c r="O16" s="41">
        <f t="shared" si="3"/>
        <v>0</v>
      </c>
      <c r="P16" s="42" t="e">
        <f t="shared" si="4"/>
        <v>#DIV/0!</v>
      </c>
      <c r="Q16" s="41">
        <f t="shared" si="5"/>
        <v>0</v>
      </c>
      <c r="R16" s="46"/>
      <c r="S16" s="41">
        <f t="shared" si="6"/>
        <v>0</v>
      </c>
      <c r="T16" s="41">
        <f t="shared" si="7"/>
        <v>0</v>
      </c>
      <c r="U16" s="42" t="e">
        <f t="shared" si="8"/>
        <v>#DIV/0!</v>
      </c>
      <c r="V16" s="44"/>
      <c r="W16" s="47"/>
      <c r="X16" s="45"/>
      <c r="Y16" s="45"/>
      <c r="Z16" s="45"/>
      <c r="AA16" s="45"/>
      <c r="AB16" s="45"/>
      <c r="AC16" s="45"/>
      <c r="AD16" s="45"/>
      <c r="AE16" s="45"/>
      <c r="AF16" s="45"/>
      <c r="AG16" s="45"/>
      <c r="AH16" s="45"/>
      <c r="AI16" s="45"/>
      <c r="AJ16" s="45"/>
      <c r="AK16" s="45"/>
      <c r="AL16" s="45"/>
    </row>
    <row r="17" spans="1:38" ht="15.75" hidden="1" x14ac:dyDescent="0.3">
      <c r="A17" s="10" t="s">
        <v>23</v>
      </c>
      <c r="B17" s="10" t="s">
        <v>25</v>
      </c>
      <c r="C17" s="10" t="s">
        <v>37</v>
      </c>
      <c r="D17" s="10" t="s">
        <v>40</v>
      </c>
      <c r="E17" s="11">
        <v>1</v>
      </c>
      <c r="F17" s="11">
        <v>1</v>
      </c>
      <c r="G17" s="11" t="s">
        <v>39</v>
      </c>
      <c r="H17" s="12">
        <v>25000</v>
      </c>
      <c r="I17" s="13">
        <v>0</v>
      </c>
      <c r="J17" s="12">
        <f t="shared" si="0"/>
        <v>0</v>
      </c>
      <c r="K17" s="12">
        <f t="shared" si="1"/>
        <v>0</v>
      </c>
      <c r="L17" s="12">
        <f t="shared" si="2"/>
        <v>0</v>
      </c>
      <c r="M17" s="41">
        <f>[1]BUDGET!N17</f>
        <v>0</v>
      </c>
      <c r="N17" s="43"/>
      <c r="O17" s="41">
        <f t="shared" si="3"/>
        <v>0</v>
      </c>
      <c r="P17" s="42" t="e">
        <f t="shared" si="4"/>
        <v>#DIV/0!</v>
      </c>
      <c r="Q17" s="41">
        <f t="shared" si="5"/>
        <v>0</v>
      </c>
      <c r="R17" s="43"/>
      <c r="S17" s="41">
        <f t="shared" si="6"/>
        <v>0</v>
      </c>
      <c r="T17" s="41">
        <f t="shared" si="7"/>
        <v>0</v>
      </c>
      <c r="U17" s="42" t="e">
        <f t="shared" si="8"/>
        <v>#DIV/0!</v>
      </c>
      <c r="V17" s="44"/>
      <c r="W17" s="45"/>
      <c r="X17" s="45"/>
      <c r="Y17" s="45"/>
      <c r="Z17" s="45"/>
      <c r="AA17" s="45"/>
      <c r="AB17" s="45"/>
      <c r="AC17" s="45"/>
      <c r="AD17" s="45"/>
      <c r="AE17" s="45"/>
      <c r="AF17" s="45"/>
      <c r="AG17" s="45"/>
      <c r="AH17" s="45"/>
      <c r="AI17" s="45"/>
      <c r="AJ17" s="45"/>
      <c r="AK17" s="45"/>
      <c r="AL17" s="45"/>
    </row>
    <row r="18" spans="1:38" ht="15.75" hidden="1" x14ac:dyDescent="0.3">
      <c r="A18" s="104" t="s">
        <v>44</v>
      </c>
      <c r="B18" s="104"/>
      <c r="C18" s="104"/>
      <c r="D18" s="104"/>
      <c r="E18" s="104"/>
      <c r="F18" s="104"/>
      <c r="G18" s="104"/>
      <c r="H18" s="104"/>
      <c r="I18" s="104"/>
      <c r="J18" s="15">
        <f>SUM(J6:J17)</f>
        <v>0</v>
      </c>
      <c r="K18" s="15">
        <f t="shared" si="1"/>
        <v>0</v>
      </c>
      <c r="L18" s="15">
        <f t="shared" si="2"/>
        <v>0</v>
      </c>
      <c r="M18" s="41">
        <f>[1]BUDGET!N18</f>
        <v>0</v>
      </c>
      <c r="N18" s="76">
        <f>SUM(N6:N17)</f>
        <v>0</v>
      </c>
      <c r="O18" s="41">
        <f t="shared" si="3"/>
        <v>0</v>
      </c>
      <c r="P18" s="42" t="e">
        <f t="shared" si="4"/>
        <v>#DIV/0!</v>
      </c>
      <c r="Q18" s="41">
        <f t="shared" si="5"/>
        <v>0</v>
      </c>
      <c r="R18" s="43"/>
      <c r="S18" s="41">
        <f t="shared" si="6"/>
        <v>0</v>
      </c>
      <c r="T18" s="41">
        <f t="shared" si="7"/>
        <v>0</v>
      </c>
      <c r="U18" s="42" t="e">
        <f t="shared" si="8"/>
        <v>#DIV/0!</v>
      </c>
      <c r="V18" s="44"/>
      <c r="W18" s="45"/>
      <c r="X18" s="45"/>
      <c r="Y18" s="45"/>
      <c r="Z18" s="45"/>
      <c r="AA18" s="45"/>
      <c r="AB18" s="45"/>
      <c r="AC18" s="45"/>
      <c r="AD18" s="45"/>
      <c r="AE18" s="45"/>
      <c r="AF18" s="45"/>
      <c r="AG18" s="45"/>
      <c r="AH18" s="45"/>
      <c r="AI18" s="45"/>
      <c r="AJ18" s="45"/>
      <c r="AK18" s="45"/>
      <c r="AL18" s="45"/>
    </row>
    <row r="19" spans="1:38" ht="15.75" hidden="1" x14ac:dyDescent="0.3">
      <c r="A19" s="17" t="s">
        <v>49</v>
      </c>
      <c r="B19" s="17"/>
      <c r="C19" s="17"/>
      <c r="D19" s="17"/>
      <c r="E19" s="17"/>
      <c r="F19" s="17"/>
      <c r="G19" s="17"/>
      <c r="H19" s="17"/>
      <c r="I19" s="17"/>
      <c r="J19" s="18"/>
      <c r="K19" s="18"/>
      <c r="L19" s="18"/>
      <c r="M19" s="41">
        <f>[1]BUDGET!N19</f>
        <v>0</v>
      </c>
      <c r="N19" s="76"/>
      <c r="O19" s="41">
        <f t="shared" si="3"/>
        <v>0</v>
      </c>
      <c r="P19" s="42" t="e">
        <f t="shared" si="4"/>
        <v>#DIV/0!</v>
      </c>
      <c r="Q19" s="41">
        <f t="shared" si="5"/>
        <v>0</v>
      </c>
      <c r="R19" s="43"/>
      <c r="S19" s="41">
        <f t="shared" si="6"/>
        <v>0</v>
      </c>
      <c r="T19" s="41">
        <f t="shared" si="7"/>
        <v>0</v>
      </c>
      <c r="U19" s="42" t="e">
        <f t="shared" si="8"/>
        <v>#DIV/0!</v>
      </c>
      <c r="V19" s="44"/>
      <c r="W19" s="45"/>
      <c r="X19" s="45"/>
      <c r="Y19" s="45"/>
      <c r="Z19" s="45"/>
      <c r="AA19" s="45"/>
      <c r="AB19" s="45"/>
      <c r="AC19" s="45"/>
      <c r="AD19" s="45"/>
      <c r="AE19" s="45"/>
      <c r="AF19" s="45"/>
      <c r="AG19" s="45"/>
      <c r="AH19" s="45"/>
      <c r="AI19" s="45"/>
      <c r="AJ19" s="45"/>
      <c r="AK19" s="45"/>
      <c r="AL19" s="45"/>
    </row>
    <row r="20" spans="1:38" ht="15.75" hidden="1" x14ac:dyDescent="0.3">
      <c r="A20" s="20" t="s">
        <v>50</v>
      </c>
      <c r="B20" s="20" t="s">
        <v>25</v>
      </c>
      <c r="C20" s="21" t="s">
        <v>51</v>
      </c>
      <c r="D20" s="22" t="s">
        <v>38</v>
      </c>
      <c r="E20" s="22">
        <v>12</v>
      </c>
      <c r="F20" s="22">
        <v>1</v>
      </c>
      <c r="G20" s="22" t="s">
        <v>39</v>
      </c>
      <c r="H20" s="23">
        <v>2500</v>
      </c>
      <c r="I20" s="24">
        <v>0</v>
      </c>
      <c r="J20" s="22">
        <f>I20*H20*F20*E20</f>
        <v>0</v>
      </c>
      <c r="K20" s="22">
        <f>J20*1.23</f>
        <v>0</v>
      </c>
      <c r="L20" s="23">
        <f>J20*1.41</f>
        <v>0</v>
      </c>
      <c r="M20" s="41">
        <f>[1]BUDGET!N20</f>
        <v>0</v>
      </c>
      <c r="N20" s="76"/>
      <c r="O20" s="41">
        <f t="shared" si="3"/>
        <v>0</v>
      </c>
      <c r="P20" s="42" t="e">
        <f t="shared" si="4"/>
        <v>#DIV/0!</v>
      </c>
      <c r="Q20" s="41">
        <f t="shared" si="5"/>
        <v>0</v>
      </c>
      <c r="R20" s="43"/>
      <c r="S20" s="41">
        <f t="shared" si="6"/>
        <v>0</v>
      </c>
      <c r="T20" s="41">
        <f t="shared" si="7"/>
        <v>0</v>
      </c>
      <c r="U20" s="42" t="e">
        <f t="shared" si="8"/>
        <v>#DIV/0!</v>
      </c>
      <c r="V20" s="44"/>
      <c r="W20" s="45"/>
      <c r="X20" s="45"/>
      <c r="Y20" s="45"/>
      <c r="Z20" s="45"/>
      <c r="AA20" s="45"/>
      <c r="AB20" s="45"/>
      <c r="AC20" s="45"/>
      <c r="AD20" s="45"/>
      <c r="AE20" s="45"/>
      <c r="AF20" s="45"/>
      <c r="AG20" s="45"/>
      <c r="AH20" s="45"/>
      <c r="AI20" s="45"/>
      <c r="AJ20" s="45"/>
      <c r="AK20" s="45"/>
      <c r="AL20" s="45"/>
    </row>
    <row r="21" spans="1:38" ht="15.75" hidden="1" x14ac:dyDescent="0.3">
      <c r="A21" s="20" t="s">
        <v>52</v>
      </c>
      <c r="B21" s="20" t="s">
        <v>25</v>
      </c>
      <c r="C21" s="21" t="s">
        <v>53</v>
      </c>
      <c r="D21" s="22" t="s">
        <v>55</v>
      </c>
      <c r="E21" s="22">
        <v>4</v>
      </c>
      <c r="F21" s="22">
        <v>1</v>
      </c>
      <c r="G21" s="22" t="s">
        <v>39</v>
      </c>
      <c r="H21" s="23">
        <v>700</v>
      </c>
      <c r="I21" s="24">
        <v>0</v>
      </c>
      <c r="J21" s="22">
        <f t="shared" ref="J21:J23" si="9">I21*H21*F21*E21</f>
        <v>0</v>
      </c>
      <c r="K21" s="22">
        <f t="shared" ref="K21:K23" si="10">J21*1.23</f>
        <v>0</v>
      </c>
      <c r="L21" s="23">
        <f t="shared" ref="L21:L23" si="11">J21*1.41</f>
        <v>0</v>
      </c>
      <c r="M21" s="41">
        <f>[1]BUDGET!N21</f>
        <v>0</v>
      </c>
      <c r="N21" s="76"/>
      <c r="O21" s="41">
        <f t="shared" si="3"/>
        <v>0</v>
      </c>
      <c r="P21" s="42" t="e">
        <f t="shared" si="4"/>
        <v>#DIV/0!</v>
      </c>
      <c r="Q21" s="41">
        <f t="shared" si="5"/>
        <v>0</v>
      </c>
      <c r="R21" s="48"/>
      <c r="S21" s="41">
        <f t="shared" si="6"/>
        <v>0</v>
      </c>
      <c r="T21" s="41">
        <f t="shared" si="7"/>
        <v>0</v>
      </c>
      <c r="U21" s="42" t="e">
        <f t="shared" si="8"/>
        <v>#DIV/0!</v>
      </c>
      <c r="V21" s="44"/>
      <c r="W21" s="45"/>
      <c r="X21" s="45"/>
      <c r="Y21" s="45"/>
      <c r="Z21" s="45"/>
      <c r="AA21" s="45"/>
      <c r="AB21" s="45"/>
      <c r="AC21" s="45"/>
      <c r="AD21" s="45"/>
      <c r="AE21" s="45"/>
      <c r="AF21" s="45"/>
      <c r="AG21" s="45"/>
      <c r="AH21" s="45"/>
      <c r="AI21" s="45"/>
      <c r="AJ21" s="45"/>
      <c r="AK21" s="45"/>
      <c r="AL21" s="45"/>
    </row>
    <row r="22" spans="1:38" ht="15.75" hidden="1" x14ac:dyDescent="0.3">
      <c r="A22" s="20" t="s">
        <v>114</v>
      </c>
      <c r="B22" s="20" t="s">
        <v>26</v>
      </c>
      <c r="C22" s="21" t="s">
        <v>54</v>
      </c>
      <c r="D22" s="22" t="s">
        <v>55</v>
      </c>
      <c r="E22" s="22">
        <v>3</v>
      </c>
      <c r="F22" s="22">
        <v>1</v>
      </c>
      <c r="G22" s="22" t="s">
        <v>39</v>
      </c>
      <c r="H22" s="23">
        <v>700</v>
      </c>
      <c r="I22" s="24">
        <v>0</v>
      </c>
      <c r="J22" s="22">
        <f t="shared" si="9"/>
        <v>0</v>
      </c>
      <c r="K22" s="22">
        <f t="shared" si="10"/>
        <v>0</v>
      </c>
      <c r="L22" s="23">
        <f t="shared" si="11"/>
        <v>0</v>
      </c>
      <c r="M22" s="41">
        <f>[1]BUDGET!N22</f>
        <v>0</v>
      </c>
      <c r="N22" s="76"/>
      <c r="O22" s="41">
        <f t="shared" si="3"/>
        <v>0</v>
      </c>
      <c r="P22" s="42" t="e">
        <f t="shared" si="4"/>
        <v>#DIV/0!</v>
      </c>
      <c r="Q22" s="41">
        <f t="shared" si="5"/>
        <v>0</v>
      </c>
      <c r="R22" s="43"/>
      <c r="S22" s="41">
        <f t="shared" si="6"/>
        <v>0</v>
      </c>
      <c r="T22" s="41">
        <f t="shared" si="7"/>
        <v>0</v>
      </c>
      <c r="U22" s="42" t="e">
        <f t="shared" si="8"/>
        <v>#DIV/0!</v>
      </c>
      <c r="V22" s="44"/>
      <c r="W22" s="45"/>
      <c r="X22" s="45"/>
      <c r="Y22" s="45"/>
      <c r="Z22" s="45"/>
      <c r="AA22" s="45"/>
      <c r="AB22" s="45"/>
      <c r="AC22" s="45"/>
      <c r="AD22" s="45"/>
      <c r="AE22" s="45"/>
      <c r="AF22" s="45"/>
      <c r="AG22" s="45"/>
      <c r="AH22" s="45"/>
      <c r="AI22" s="45"/>
      <c r="AJ22" s="45"/>
      <c r="AK22" s="45"/>
      <c r="AL22" s="45"/>
    </row>
    <row r="23" spans="1:38" ht="15.75" hidden="1" x14ac:dyDescent="0.3">
      <c r="A23" s="20" t="s">
        <v>64</v>
      </c>
      <c r="B23" s="20" t="s">
        <v>65</v>
      </c>
      <c r="C23" s="21" t="s">
        <v>66</v>
      </c>
      <c r="D23" s="22" t="s">
        <v>40</v>
      </c>
      <c r="E23" s="22">
        <v>1</v>
      </c>
      <c r="F23" s="22">
        <v>1</v>
      </c>
      <c r="G23" s="22" t="s">
        <v>39</v>
      </c>
      <c r="H23" s="23">
        <v>5000</v>
      </c>
      <c r="I23" s="24">
        <v>0</v>
      </c>
      <c r="J23" s="22">
        <f t="shared" si="9"/>
        <v>0</v>
      </c>
      <c r="K23" s="22">
        <f t="shared" si="10"/>
        <v>0</v>
      </c>
      <c r="L23" s="23">
        <f t="shared" si="11"/>
        <v>0</v>
      </c>
      <c r="M23" s="41">
        <f>[1]BUDGET!N23</f>
        <v>0</v>
      </c>
      <c r="N23" s="76"/>
      <c r="O23" s="41">
        <f t="shared" si="3"/>
        <v>0</v>
      </c>
      <c r="P23" s="42" t="e">
        <f t="shared" si="4"/>
        <v>#DIV/0!</v>
      </c>
      <c r="Q23" s="41">
        <f t="shared" si="5"/>
        <v>0</v>
      </c>
      <c r="R23" s="43"/>
      <c r="S23" s="41">
        <f t="shared" si="6"/>
        <v>0</v>
      </c>
      <c r="T23" s="41">
        <f t="shared" si="7"/>
        <v>0</v>
      </c>
      <c r="U23" s="42" t="e">
        <f t="shared" si="8"/>
        <v>#DIV/0!</v>
      </c>
      <c r="V23" s="44"/>
      <c r="W23" s="45"/>
      <c r="X23" s="45"/>
      <c r="Y23" s="45"/>
      <c r="Z23" s="45"/>
      <c r="AA23" s="45"/>
      <c r="AB23" s="45"/>
      <c r="AC23" s="45"/>
      <c r="AD23" s="45"/>
      <c r="AE23" s="45"/>
      <c r="AF23" s="45"/>
      <c r="AG23" s="45"/>
      <c r="AH23" s="45"/>
      <c r="AI23" s="45"/>
      <c r="AJ23" s="45"/>
      <c r="AK23" s="45"/>
      <c r="AL23" s="45"/>
    </row>
    <row r="24" spans="1:38" ht="15.75" hidden="1" x14ac:dyDescent="0.3">
      <c r="A24" s="97" t="s">
        <v>56</v>
      </c>
      <c r="B24" s="97"/>
      <c r="C24" s="97"/>
      <c r="D24" s="97"/>
      <c r="E24" s="97"/>
      <c r="F24" s="97"/>
      <c r="G24" s="97"/>
      <c r="H24" s="97"/>
      <c r="I24" s="97"/>
      <c r="J24" s="15">
        <f>SUM(J20:J23)</f>
        <v>0</v>
      </c>
      <c r="K24" s="15">
        <f>SUM(K20:K23)</f>
        <v>0</v>
      </c>
      <c r="L24" s="15">
        <f>SUM(L20:L23)</f>
        <v>0</v>
      </c>
      <c r="M24" s="41">
        <f>[1]BUDGET!N24</f>
        <v>0</v>
      </c>
      <c r="N24" s="76">
        <f>SUM(N20:N23)</f>
        <v>0</v>
      </c>
      <c r="O24" s="41">
        <f t="shared" si="3"/>
        <v>0</v>
      </c>
      <c r="P24" s="42" t="e">
        <f t="shared" si="4"/>
        <v>#DIV/0!</v>
      </c>
      <c r="Q24" s="41">
        <f t="shared" si="5"/>
        <v>0</v>
      </c>
      <c r="R24" s="43"/>
      <c r="S24" s="41">
        <f t="shared" si="6"/>
        <v>0</v>
      </c>
      <c r="T24" s="41">
        <f t="shared" si="7"/>
        <v>0</v>
      </c>
      <c r="U24" s="42" t="e">
        <f t="shared" si="8"/>
        <v>#DIV/0!</v>
      </c>
      <c r="V24" s="44"/>
      <c r="W24" s="45"/>
      <c r="X24" s="45"/>
      <c r="Y24" s="45"/>
      <c r="Z24" s="45"/>
      <c r="AA24" s="45"/>
      <c r="AB24" s="45"/>
      <c r="AC24" s="45"/>
      <c r="AD24" s="45"/>
      <c r="AE24" s="45"/>
      <c r="AF24" s="45"/>
      <c r="AG24" s="45"/>
      <c r="AH24" s="45"/>
      <c r="AI24" s="45"/>
      <c r="AJ24" s="45"/>
      <c r="AK24" s="45"/>
      <c r="AL24" s="45"/>
    </row>
    <row r="25" spans="1:38" ht="15.75" hidden="1" x14ac:dyDescent="0.3">
      <c r="A25" s="96" t="s">
        <v>11</v>
      </c>
      <c r="B25" s="96"/>
      <c r="C25" s="96"/>
      <c r="D25" s="96"/>
      <c r="E25" s="96"/>
      <c r="F25" s="96"/>
      <c r="G25" s="96"/>
      <c r="H25" s="96"/>
      <c r="I25" s="96"/>
      <c r="J25" s="96"/>
      <c r="K25" s="96"/>
      <c r="L25" s="96"/>
      <c r="M25" s="41">
        <f>[1]BUDGET!N25</f>
        <v>0</v>
      </c>
      <c r="N25" s="76"/>
      <c r="O25" s="41">
        <f t="shared" si="3"/>
        <v>0</v>
      </c>
      <c r="P25" s="42" t="e">
        <f t="shared" si="4"/>
        <v>#DIV/0!</v>
      </c>
      <c r="Q25" s="41">
        <f t="shared" si="5"/>
        <v>0</v>
      </c>
      <c r="R25" s="43"/>
      <c r="S25" s="41">
        <f t="shared" si="6"/>
        <v>0</v>
      </c>
      <c r="T25" s="41">
        <f t="shared" si="7"/>
        <v>0</v>
      </c>
      <c r="U25" s="42" t="e">
        <f t="shared" si="8"/>
        <v>#DIV/0!</v>
      </c>
      <c r="V25" s="44"/>
      <c r="W25" s="45"/>
      <c r="X25" s="45"/>
      <c r="Y25" s="45"/>
      <c r="Z25" s="45"/>
      <c r="AA25" s="45"/>
      <c r="AB25" s="45"/>
      <c r="AC25" s="45"/>
      <c r="AD25" s="45"/>
      <c r="AE25" s="45"/>
      <c r="AF25" s="45"/>
      <c r="AG25" s="45"/>
      <c r="AH25" s="45"/>
      <c r="AI25" s="45"/>
      <c r="AJ25" s="45"/>
      <c r="AK25" s="45"/>
      <c r="AL25" s="45"/>
    </row>
    <row r="26" spans="1:38" ht="47.25" x14ac:dyDescent="0.25">
      <c r="A26" s="20" t="s">
        <v>46</v>
      </c>
      <c r="B26" s="20" t="s">
        <v>26</v>
      </c>
      <c r="C26" s="34" t="s">
        <v>67</v>
      </c>
      <c r="D26" s="22" t="s">
        <v>40</v>
      </c>
      <c r="E26" s="22">
        <v>1</v>
      </c>
      <c r="F26" s="22">
        <v>1</v>
      </c>
      <c r="G26" s="22" t="s">
        <v>39</v>
      </c>
      <c r="H26" s="23">
        <f>446550.9+47822</f>
        <v>494372.9</v>
      </c>
      <c r="I26" s="24">
        <v>1</v>
      </c>
      <c r="J26" s="22">
        <f>I26*H26*F26*E26</f>
        <v>494372.9</v>
      </c>
      <c r="K26" s="22">
        <f>J26*1.23</f>
        <v>608078.66700000002</v>
      </c>
      <c r="L26" s="23">
        <f>J26*1.41</f>
        <v>697065.78899999999</v>
      </c>
      <c r="M26" s="49">
        <f>L26</f>
        <v>697065.78899999999</v>
      </c>
      <c r="N26" s="77">
        <f>(SUMIFS('Expense Allocation'!$J$8:$J$157,'Expense Allocation'!$F$8:$F$157,$A26)+SUMIFS('Expense Allocation'!$K$8:$K$157,'Expense Allocation'!$H$8:$H$157,$A26))*'Expense Allocation'!$B$3</f>
        <v>706058.21768999996</v>
      </c>
      <c r="O26" s="49">
        <f t="shared" si="3"/>
        <v>-8992.4286899999715</v>
      </c>
      <c r="P26" s="51">
        <f t="shared" si="4"/>
        <v>1.0129004017008214</v>
      </c>
      <c r="Q26" s="49">
        <f t="shared" si="5"/>
        <v>0</v>
      </c>
      <c r="R26" s="50"/>
      <c r="S26" s="49">
        <f t="shared" si="6"/>
        <v>706058.21768999996</v>
      </c>
      <c r="T26" s="49">
        <f t="shared" si="7"/>
        <v>-8992.4286899999715</v>
      </c>
      <c r="U26" s="51">
        <f t="shared" si="8"/>
        <v>1.0129004017008214</v>
      </c>
      <c r="V26" s="44"/>
      <c r="W26" s="56"/>
      <c r="X26" s="56"/>
      <c r="Y26" s="45"/>
      <c r="Z26" s="45"/>
      <c r="AA26" s="45"/>
      <c r="AB26" s="45"/>
      <c r="AC26" s="45"/>
      <c r="AD26" s="45"/>
      <c r="AE26" s="45"/>
      <c r="AF26" s="45"/>
      <c r="AG26" s="45"/>
      <c r="AH26" s="45"/>
      <c r="AI26" s="45"/>
      <c r="AJ26" s="45"/>
      <c r="AK26" s="45"/>
      <c r="AL26" s="45"/>
    </row>
    <row r="27" spans="1:38" ht="15.75" x14ac:dyDescent="0.25">
      <c r="A27" s="20" t="s">
        <v>47</v>
      </c>
      <c r="B27" s="20" t="s">
        <v>26</v>
      </c>
      <c r="C27" s="34" t="s">
        <v>69</v>
      </c>
      <c r="D27" s="22" t="s">
        <v>72</v>
      </c>
      <c r="E27" s="22">
        <v>2000</v>
      </c>
      <c r="F27" s="22">
        <v>1</v>
      </c>
      <c r="G27" s="22" t="s">
        <v>39</v>
      </c>
      <c r="H27" s="23">
        <v>18</v>
      </c>
      <c r="I27" s="24">
        <v>1</v>
      </c>
      <c r="J27" s="22">
        <f>I27*H27*F27*E27</f>
        <v>36000</v>
      </c>
      <c r="K27" s="22">
        <f>J27*1.23</f>
        <v>44280</v>
      </c>
      <c r="L27" s="23">
        <f>J27*1.41</f>
        <v>50760</v>
      </c>
      <c r="M27" s="49">
        <f t="shared" ref="M27:M47" si="12">L27</f>
        <v>50760</v>
      </c>
      <c r="N27" s="77">
        <f>(SUMIFS('Expense Allocation'!$J$8:$J$157,'Expense Allocation'!$F$8:$F$157,$A27)+SUMIFS('Expense Allocation'!$K$8:$K$157,'Expense Allocation'!$H$8:$H$157,$A27))*'Expense Allocation'!$B$3</f>
        <v>48242.921580000009</v>
      </c>
      <c r="O27" s="49">
        <f t="shared" si="3"/>
        <v>2517.0784199999907</v>
      </c>
      <c r="P27" s="51">
        <f t="shared" si="4"/>
        <v>0.95041216666666684</v>
      </c>
      <c r="Q27" s="49">
        <f t="shared" si="5"/>
        <v>0</v>
      </c>
      <c r="R27" s="50"/>
      <c r="S27" s="49">
        <f t="shared" si="6"/>
        <v>48242.921580000009</v>
      </c>
      <c r="T27" s="49">
        <f t="shared" si="7"/>
        <v>2517.0784199999907</v>
      </c>
      <c r="U27" s="51">
        <f t="shared" si="8"/>
        <v>0.95041216666666684</v>
      </c>
      <c r="V27" s="60"/>
      <c r="W27" s="60"/>
      <c r="X27" s="60"/>
      <c r="Y27" s="60"/>
      <c r="Z27" s="60"/>
      <c r="AA27" s="60"/>
      <c r="AB27" s="60"/>
      <c r="AC27" s="60"/>
      <c r="AD27" s="60"/>
      <c r="AE27" s="45"/>
      <c r="AF27" s="45"/>
      <c r="AG27" s="45"/>
      <c r="AH27" s="45"/>
      <c r="AI27" s="45"/>
      <c r="AJ27" s="45"/>
      <c r="AK27" s="45"/>
      <c r="AL27" s="45"/>
    </row>
    <row r="28" spans="1:38" ht="15.75" x14ac:dyDescent="0.25">
      <c r="A28" s="20" t="s">
        <v>48</v>
      </c>
      <c r="B28" s="20" t="s">
        <v>26</v>
      </c>
      <c r="C28" s="34" t="s">
        <v>70</v>
      </c>
      <c r="D28" s="22" t="s">
        <v>72</v>
      </c>
      <c r="E28" s="22">
        <v>2000</v>
      </c>
      <c r="F28" s="22">
        <v>1</v>
      </c>
      <c r="G28" s="22" t="s">
        <v>39</v>
      </c>
      <c r="H28" s="23">
        <v>18</v>
      </c>
      <c r="I28" s="24">
        <v>1</v>
      </c>
      <c r="J28" s="22">
        <f>I28*H28*F28*E28</f>
        <v>36000</v>
      </c>
      <c r="K28" s="22">
        <f>J28*1.23</f>
        <v>44280</v>
      </c>
      <c r="L28" s="23">
        <f>J28*1.41</f>
        <v>50760</v>
      </c>
      <c r="M28" s="49">
        <f t="shared" si="12"/>
        <v>50760</v>
      </c>
      <c r="N28" s="77">
        <f>(SUMIFS('Expense Allocation'!$J$8:$J$157,'Expense Allocation'!$F$8:$F$157,$A28)+SUMIFS('Expense Allocation'!$K$8:$K$157,'Expense Allocation'!$H$8:$H$157,$A28))*'Expense Allocation'!$B$3</f>
        <v>42757.877759999981</v>
      </c>
      <c r="O28" s="49">
        <f t="shared" si="3"/>
        <v>8002.1222400000188</v>
      </c>
      <c r="P28" s="51">
        <f t="shared" si="4"/>
        <v>0.84235377777777742</v>
      </c>
      <c r="Q28" s="49">
        <f t="shared" si="5"/>
        <v>0</v>
      </c>
      <c r="R28" s="50"/>
      <c r="S28" s="49">
        <f t="shared" si="6"/>
        <v>42757.877759999981</v>
      </c>
      <c r="T28" s="49">
        <f t="shared" si="7"/>
        <v>8002.1222400000188</v>
      </c>
      <c r="U28" s="51">
        <f t="shared" si="8"/>
        <v>0.84235377777777742</v>
      </c>
      <c r="V28" s="60"/>
      <c r="W28" s="60"/>
      <c r="X28" s="60"/>
      <c r="Y28" s="60"/>
      <c r="Z28" s="60"/>
      <c r="AA28" s="60"/>
      <c r="AB28" s="60"/>
      <c r="AC28" s="60"/>
      <c r="AD28" s="60"/>
      <c r="AE28" s="45"/>
      <c r="AF28" s="45"/>
      <c r="AG28" s="45"/>
      <c r="AH28" s="45"/>
      <c r="AI28" s="45"/>
      <c r="AJ28" s="45"/>
      <c r="AK28" s="45"/>
      <c r="AL28" s="45"/>
    </row>
    <row r="29" spans="1:38" ht="15.75" x14ac:dyDescent="0.25">
      <c r="A29" s="20" t="s">
        <v>105</v>
      </c>
      <c r="B29" s="20" t="s">
        <v>26</v>
      </c>
      <c r="C29" s="61" t="s">
        <v>95</v>
      </c>
      <c r="D29" s="36" t="s">
        <v>96</v>
      </c>
      <c r="E29" s="22">
        <v>300</v>
      </c>
      <c r="F29" s="22">
        <v>1</v>
      </c>
      <c r="G29" s="22" t="s">
        <v>39</v>
      </c>
      <c r="H29" s="23">
        <v>20</v>
      </c>
      <c r="I29" s="24">
        <v>1</v>
      </c>
      <c r="J29" s="22">
        <f t="shared" ref="J29:J37" si="13">I29*H29*F29*E29</f>
        <v>6000</v>
      </c>
      <c r="K29" s="22">
        <f t="shared" ref="K29:K37" si="14">J29*1.23</f>
        <v>7380</v>
      </c>
      <c r="L29" s="23">
        <f t="shared" ref="L29:L37" si="15">J29*1.41</f>
        <v>8460</v>
      </c>
      <c r="M29" s="49">
        <f t="shared" si="12"/>
        <v>8460</v>
      </c>
      <c r="N29" s="77">
        <f>(SUMIFS('Expense Allocation'!$J$8:$J$157,'Expense Allocation'!$F$8:$F$157,$A29)+SUMIFS('Expense Allocation'!$K$8:$K$157,'Expense Allocation'!$H$8:$H$157,$A29))*'Expense Allocation'!$B$3</f>
        <v>0</v>
      </c>
      <c r="O29" s="49">
        <f t="shared" si="3"/>
        <v>8460</v>
      </c>
      <c r="P29" s="51">
        <f t="shared" si="4"/>
        <v>0</v>
      </c>
      <c r="Q29" s="49">
        <f t="shared" si="5"/>
        <v>0</v>
      </c>
      <c r="R29" s="50"/>
      <c r="S29" s="49">
        <f t="shared" si="6"/>
        <v>0</v>
      </c>
      <c r="T29" s="49">
        <f t="shared" si="7"/>
        <v>8460</v>
      </c>
      <c r="U29" s="51">
        <f t="shared" si="8"/>
        <v>0</v>
      </c>
      <c r="V29" s="44"/>
      <c r="W29" s="45"/>
      <c r="X29" s="45"/>
      <c r="Y29" s="45"/>
      <c r="Z29" s="45"/>
      <c r="AA29" s="45"/>
      <c r="AB29" s="45"/>
      <c r="AC29" s="45"/>
      <c r="AD29" s="45"/>
      <c r="AE29" s="45"/>
      <c r="AF29" s="45"/>
      <c r="AG29" s="45"/>
      <c r="AH29" s="45"/>
      <c r="AI29" s="45"/>
      <c r="AJ29" s="45"/>
      <c r="AK29" s="45"/>
      <c r="AL29" s="45"/>
    </row>
    <row r="30" spans="1:38" ht="15.75" x14ac:dyDescent="0.3">
      <c r="A30" s="20" t="s">
        <v>106</v>
      </c>
      <c r="B30" s="20" t="s">
        <v>26</v>
      </c>
      <c r="C30" s="21" t="s">
        <v>97</v>
      </c>
      <c r="D30" s="36" t="s">
        <v>96</v>
      </c>
      <c r="E30" s="22">
        <v>200</v>
      </c>
      <c r="F30" s="22">
        <v>1</v>
      </c>
      <c r="G30" s="22" t="s">
        <v>39</v>
      </c>
      <c r="H30" s="23">
        <v>141</v>
      </c>
      <c r="I30" s="24">
        <v>1</v>
      </c>
      <c r="J30" s="22">
        <f t="shared" si="13"/>
        <v>28200</v>
      </c>
      <c r="K30" s="22">
        <f t="shared" si="14"/>
        <v>34686</v>
      </c>
      <c r="L30" s="23">
        <f t="shared" si="15"/>
        <v>39762</v>
      </c>
      <c r="M30" s="49">
        <f t="shared" si="12"/>
        <v>39762</v>
      </c>
      <c r="N30" s="77">
        <f>(SUMIFS('Expense Allocation'!$J$8:$J$157,'Expense Allocation'!$F$8:$F$157,$A30)+SUMIFS('Expense Allocation'!$K$8:$K$157,'Expense Allocation'!$H$8:$H$157,$A30))*'Expense Allocation'!$B$3</f>
        <v>0</v>
      </c>
      <c r="O30" s="49">
        <f t="shared" si="3"/>
        <v>39762</v>
      </c>
      <c r="P30" s="51">
        <f t="shared" si="4"/>
        <v>0</v>
      </c>
      <c r="Q30" s="49">
        <f t="shared" si="5"/>
        <v>0</v>
      </c>
      <c r="R30" s="50"/>
      <c r="S30" s="49">
        <f t="shared" si="6"/>
        <v>0</v>
      </c>
      <c r="T30" s="49">
        <f t="shared" si="7"/>
        <v>39762</v>
      </c>
      <c r="U30" s="51">
        <f t="shared" si="8"/>
        <v>0</v>
      </c>
      <c r="V30" s="44"/>
      <c r="W30" s="45"/>
      <c r="X30" s="45"/>
      <c r="Y30" s="45"/>
      <c r="Z30" s="45"/>
      <c r="AA30" s="45"/>
      <c r="AB30" s="45"/>
      <c r="AC30" s="45"/>
      <c r="AD30" s="45"/>
      <c r="AE30" s="45"/>
      <c r="AF30" s="45"/>
      <c r="AG30" s="45"/>
      <c r="AH30" s="45"/>
      <c r="AI30" s="45"/>
      <c r="AJ30" s="45"/>
      <c r="AK30" s="45"/>
      <c r="AL30" s="45"/>
    </row>
    <row r="31" spans="1:38" ht="15.75" x14ac:dyDescent="0.3">
      <c r="A31" s="20" t="s">
        <v>107</v>
      </c>
      <c r="B31" s="20" t="s">
        <v>26</v>
      </c>
      <c r="C31" s="21" t="s">
        <v>98</v>
      </c>
      <c r="D31" s="36" t="s">
        <v>96</v>
      </c>
      <c r="E31" s="22">
        <v>96</v>
      </c>
      <c r="F31" s="22">
        <v>1</v>
      </c>
      <c r="G31" s="22" t="s">
        <v>39</v>
      </c>
      <c r="H31" s="23">
        <v>142</v>
      </c>
      <c r="I31" s="24">
        <v>1</v>
      </c>
      <c r="J31" s="22">
        <f t="shared" si="13"/>
        <v>13632</v>
      </c>
      <c r="K31" s="22">
        <f t="shared" si="14"/>
        <v>16767.36</v>
      </c>
      <c r="L31" s="23">
        <f t="shared" si="15"/>
        <v>19221.12</v>
      </c>
      <c r="M31" s="49">
        <f t="shared" si="12"/>
        <v>19221.12</v>
      </c>
      <c r="N31" s="77">
        <f>(SUMIFS('Expense Allocation'!$J$8:$J$157,'Expense Allocation'!$F$8:$F$157,$A31)+SUMIFS('Expense Allocation'!$K$8:$K$157,'Expense Allocation'!$H$8:$H$157,$A31))*'Expense Allocation'!$B$3</f>
        <v>0</v>
      </c>
      <c r="O31" s="49">
        <f t="shared" si="3"/>
        <v>19221.12</v>
      </c>
      <c r="P31" s="51">
        <f t="shared" si="4"/>
        <v>0</v>
      </c>
      <c r="Q31" s="49">
        <f t="shared" si="5"/>
        <v>0</v>
      </c>
      <c r="R31" s="50"/>
      <c r="S31" s="49">
        <f t="shared" si="6"/>
        <v>0</v>
      </c>
      <c r="T31" s="49">
        <f t="shared" si="7"/>
        <v>19221.12</v>
      </c>
      <c r="U31" s="51">
        <f t="shared" si="8"/>
        <v>0</v>
      </c>
      <c r="V31" s="44"/>
      <c r="W31" s="45"/>
      <c r="X31" s="45"/>
      <c r="Y31" s="45"/>
      <c r="Z31" s="45"/>
      <c r="AA31" s="45"/>
      <c r="AB31" s="45"/>
      <c r="AC31" s="45"/>
      <c r="AD31" s="45"/>
      <c r="AE31" s="45"/>
      <c r="AF31" s="45"/>
      <c r="AG31" s="45"/>
      <c r="AH31" s="45"/>
      <c r="AI31" s="45"/>
      <c r="AJ31" s="45"/>
      <c r="AK31" s="45"/>
      <c r="AL31" s="45"/>
    </row>
    <row r="32" spans="1:38" ht="15.75" x14ac:dyDescent="0.3">
      <c r="A32" s="20" t="s">
        <v>108</v>
      </c>
      <c r="B32" s="20" t="s">
        <v>26</v>
      </c>
      <c r="C32" s="21" t="s">
        <v>99</v>
      </c>
      <c r="D32" s="36" t="s">
        <v>96</v>
      </c>
      <c r="E32" s="22">
        <v>300</v>
      </c>
      <c r="F32" s="22">
        <v>1</v>
      </c>
      <c r="G32" s="22" t="s">
        <v>39</v>
      </c>
      <c r="H32" s="23">
        <v>30</v>
      </c>
      <c r="I32" s="24">
        <v>1</v>
      </c>
      <c r="J32" s="22">
        <f t="shared" si="13"/>
        <v>9000</v>
      </c>
      <c r="K32" s="22">
        <f t="shared" si="14"/>
        <v>11070</v>
      </c>
      <c r="L32" s="23">
        <f t="shared" si="15"/>
        <v>12690</v>
      </c>
      <c r="M32" s="49">
        <f t="shared" si="12"/>
        <v>12690</v>
      </c>
      <c r="N32" s="77">
        <f>(SUMIFS('Expense Allocation'!$J$8:$J$157,'Expense Allocation'!$F$8:$F$157,$A32)+SUMIFS('Expense Allocation'!$K$8:$K$157,'Expense Allocation'!$H$8:$H$157,$A32))*'Expense Allocation'!$B$3</f>
        <v>0</v>
      </c>
      <c r="O32" s="49">
        <f t="shared" si="3"/>
        <v>12690</v>
      </c>
      <c r="P32" s="51">
        <f t="shared" si="4"/>
        <v>0</v>
      </c>
      <c r="Q32" s="49">
        <f t="shared" si="5"/>
        <v>0</v>
      </c>
      <c r="R32" s="50"/>
      <c r="S32" s="49">
        <f t="shared" si="6"/>
        <v>0</v>
      </c>
      <c r="T32" s="49">
        <f t="shared" si="7"/>
        <v>12690</v>
      </c>
      <c r="U32" s="51">
        <f t="shared" si="8"/>
        <v>0</v>
      </c>
      <c r="V32" s="44"/>
      <c r="W32" s="45"/>
      <c r="X32" s="45"/>
      <c r="Y32" s="45"/>
      <c r="Z32" s="45"/>
      <c r="AA32" s="45"/>
      <c r="AB32" s="45"/>
      <c r="AC32" s="45"/>
      <c r="AD32" s="45"/>
      <c r="AE32" s="45"/>
      <c r="AF32" s="45"/>
      <c r="AG32" s="45"/>
      <c r="AH32" s="45"/>
      <c r="AI32" s="45"/>
      <c r="AJ32" s="45"/>
      <c r="AK32" s="45"/>
      <c r="AL32" s="45"/>
    </row>
    <row r="33" spans="1:38" ht="15.75" x14ac:dyDescent="0.3">
      <c r="A33" s="20" t="s">
        <v>109</v>
      </c>
      <c r="B33" s="20" t="s">
        <v>26</v>
      </c>
      <c r="C33" s="21" t="s">
        <v>100</v>
      </c>
      <c r="D33" s="36" t="s">
        <v>96</v>
      </c>
      <c r="E33" s="22">
        <v>200</v>
      </c>
      <c r="F33" s="22">
        <v>1</v>
      </c>
      <c r="G33" s="22" t="s">
        <v>39</v>
      </c>
      <c r="H33" s="23">
        <v>25</v>
      </c>
      <c r="I33" s="24">
        <v>1</v>
      </c>
      <c r="J33" s="22">
        <f t="shared" si="13"/>
        <v>5000</v>
      </c>
      <c r="K33" s="22">
        <f t="shared" si="14"/>
        <v>6150</v>
      </c>
      <c r="L33" s="23">
        <f t="shared" si="15"/>
        <v>7050</v>
      </c>
      <c r="M33" s="49">
        <f t="shared" si="12"/>
        <v>7050</v>
      </c>
      <c r="N33" s="77">
        <f>(SUMIFS('Expense Allocation'!$J$8:$J$157,'Expense Allocation'!$F$8:$F$157,$A33)+SUMIFS('Expense Allocation'!$K$8:$K$157,'Expense Allocation'!$H$8:$H$157,$A33))*'Expense Allocation'!$B$3</f>
        <v>0</v>
      </c>
      <c r="O33" s="49">
        <f t="shared" si="3"/>
        <v>7050</v>
      </c>
      <c r="P33" s="51">
        <f t="shared" si="4"/>
        <v>0</v>
      </c>
      <c r="Q33" s="49">
        <f t="shared" si="5"/>
        <v>0</v>
      </c>
      <c r="R33" s="50"/>
      <c r="S33" s="49">
        <f t="shared" si="6"/>
        <v>0</v>
      </c>
      <c r="T33" s="49">
        <f t="shared" si="7"/>
        <v>7050</v>
      </c>
      <c r="U33" s="51">
        <f t="shared" si="8"/>
        <v>0</v>
      </c>
      <c r="V33" s="44"/>
      <c r="W33" s="45"/>
      <c r="X33" s="45"/>
      <c r="Y33" s="45"/>
      <c r="Z33" s="45"/>
      <c r="AA33" s="45"/>
      <c r="AB33" s="45"/>
      <c r="AC33" s="45"/>
      <c r="AD33" s="45"/>
      <c r="AE33" s="45"/>
      <c r="AF33" s="45"/>
      <c r="AG33" s="45"/>
      <c r="AH33" s="45"/>
      <c r="AI33" s="45"/>
      <c r="AJ33" s="45"/>
      <c r="AK33" s="45"/>
      <c r="AL33" s="45"/>
    </row>
    <row r="34" spans="1:38" ht="15.75" x14ac:dyDescent="0.3">
      <c r="A34" s="20" t="s">
        <v>110</v>
      </c>
      <c r="B34" s="20" t="s">
        <v>26</v>
      </c>
      <c r="C34" s="21" t="s">
        <v>101</v>
      </c>
      <c r="D34" s="36" t="s">
        <v>96</v>
      </c>
      <c r="E34" s="22">
        <v>30</v>
      </c>
      <c r="F34" s="22">
        <v>1</v>
      </c>
      <c r="G34" s="22" t="s">
        <v>39</v>
      </c>
      <c r="H34" s="23">
        <v>25</v>
      </c>
      <c r="I34" s="24">
        <v>1</v>
      </c>
      <c r="J34" s="22">
        <f t="shared" si="13"/>
        <v>750</v>
      </c>
      <c r="K34" s="22">
        <f t="shared" si="14"/>
        <v>922.5</v>
      </c>
      <c r="L34" s="23">
        <f t="shared" si="15"/>
        <v>1057.5</v>
      </c>
      <c r="M34" s="49">
        <f t="shared" si="12"/>
        <v>1057.5</v>
      </c>
      <c r="N34" s="77">
        <f>(SUMIFS('Expense Allocation'!$J$8:$J$157,'Expense Allocation'!$F$8:$F$157,$A34)+SUMIFS('Expense Allocation'!$K$8:$K$157,'Expense Allocation'!$H$8:$H$157,$A34))*'Expense Allocation'!$B$3</f>
        <v>0</v>
      </c>
      <c r="O34" s="49">
        <f t="shared" si="3"/>
        <v>1057.5</v>
      </c>
      <c r="P34" s="51">
        <f t="shared" si="4"/>
        <v>0</v>
      </c>
      <c r="Q34" s="49">
        <f t="shared" si="5"/>
        <v>0</v>
      </c>
      <c r="R34" s="50"/>
      <c r="S34" s="49">
        <f t="shared" si="6"/>
        <v>0</v>
      </c>
      <c r="T34" s="49">
        <f t="shared" si="7"/>
        <v>1057.5</v>
      </c>
      <c r="U34" s="51">
        <f t="shared" si="8"/>
        <v>0</v>
      </c>
      <c r="V34" s="44"/>
      <c r="W34" s="45"/>
      <c r="X34" s="45"/>
      <c r="Y34" s="45"/>
      <c r="Z34" s="45"/>
      <c r="AA34" s="45"/>
      <c r="AB34" s="45"/>
      <c r="AC34" s="45"/>
      <c r="AD34" s="45"/>
      <c r="AE34" s="45"/>
      <c r="AF34" s="45"/>
      <c r="AG34" s="45"/>
      <c r="AH34" s="45"/>
      <c r="AI34" s="45"/>
      <c r="AJ34" s="45"/>
      <c r="AK34" s="45"/>
      <c r="AL34" s="45"/>
    </row>
    <row r="35" spans="1:38" ht="15.75" x14ac:dyDescent="0.3">
      <c r="A35" s="20" t="s">
        <v>111</v>
      </c>
      <c r="B35" s="20" t="s">
        <v>26</v>
      </c>
      <c r="C35" s="21" t="s">
        <v>102</v>
      </c>
      <c r="D35" s="36" t="s">
        <v>96</v>
      </c>
      <c r="E35" s="22">
        <v>200</v>
      </c>
      <c r="F35" s="22">
        <v>1</v>
      </c>
      <c r="G35" s="22" t="s">
        <v>39</v>
      </c>
      <c r="H35" s="23">
        <v>20</v>
      </c>
      <c r="I35" s="24">
        <v>1</v>
      </c>
      <c r="J35" s="22">
        <f t="shared" si="13"/>
        <v>4000</v>
      </c>
      <c r="K35" s="22">
        <f t="shared" si="14"/>
        <v>4920</v>
      </c>
      <c r="L35" s="23">
        <f t="shared" si="15"/>
        <v>5640</v>
      </c>
      <c r="M35" s="49">
        <f t="shared" si="12"/>
        <v>5640</v>
      </c>
      <c r="N35" s="77">
        <f>(SUMIFS('Expense Allocation'!$J$8:$J$157,'Expense Allocation'!$F$8:$F$157,$A35)+SUMIFS('Expense Allocation'!$K$8:$K$157,'Expense Allocation'!$H$8:$H$157,$A35))*'Expense Allocation'!$B$3</f>
        <v>0</v>
      </c>
      <c r="O35" s="49">
        <f t="shared" si="3"/>
        <v>5640</v>
      </c>
      <c r="P35" s="51">
        <f t="shared" si="4"/>
        <v>0</v>
      </c>
      <c r="Q35" s="49">
        <f t="shared" si="5"/>
        <v>0</v>
      </c>
      <c r="R35" s="50"/>
      <c r="S35" s="49">
        <f t="shared" si="6"/>
        <v>0</v>
      </c>
      <c r="T35" s="49">
        <f t="shared" si="7"/>
        <v>5640</v>
      </c>
      <c r="U35" s="51">
        <f t="shared" si="8"/>
        <v>0</v>
      </c>
      <c r="V35" s="44"/>
      <c r="W35" s="45"/>
      <c r="X35" s="45"/>
      <c r="Y35" s="45"/>
      <c r="Z35" s="45"/>
      <c r="AA35" s="45"/>
      <c r="AB35" s="45"/>
      <c r="AC35" s="45"/>
      <c r="AD35" s="45"/>
      <c r="AE35" s="45"/>
      <c r="AF35" s="45"/>
      <c r="AG35" s="45"/>
      <c r="AH35" s="45"/>
      <c r="AI35" s="45"/>
      <c r="AJ35" s="45"/>
      <c r="AK35" s="45"/>
      <c r="AL35" s="45"/>
    </row>
    <row r="36" spans="1:38" ht="15.75" x14ac:dyDescent="0.3">
      <c r="A36" s="20" t="s">
        <v>112</v>
      </c>
      <c r="B36" s="20" t="s">
        <v>26</v>
      </c>
      <c r="C36" s="21" t="s">
        <v>103</v>
      </c>
      <c r="D36" s="36" t="s">
        <v>96</v>
      </c>
      <c r="E36" s="22">
        <v>600</v>
      </c>
      <c r="F36" s="22">
        <v>1</v>
      </c>
      <c r="G36" s="22" t="s">
        <v>39</v>
      </c>
      <c r="H36" s="23">
        <v>10.7</v>
      </c>
      <c r="I36" s="24">
        <v>1</v>
      </c>
      <c r="J36" s="22">
        <f t="shared" si="13"/>
        <v>6420</v>
      </c>
      <c r="K36" s="22">
        <f t="shared" si="14"/>
        <v>7896.5999999999995</v>
      </c>
      <c r="L36" s="23">
        <f t="shared" si="15"/>
        <v>9052.1999999999989</v>
      </c>
      <c r="M36" s="49">
        <f t="shared" si="12"/>
        <v>9052.1999999999989</v>
      </c>
      <c r="N36" s="77">
        <f>(SUMIFS('Expense Allocation'!$J$8:$J$157,'Expense Allocation'!$F$8:$F$157,$A36)+SUMIFS('Expense Allocation'!$K$8:$K$157,'Expense Allocation'!$H$8:$H$157,$A36))*'Expense Allocation'!$B$3</f>
        <v>0</v>
      </c>
      <c r="O36" s="49">
        <f t="shared" si="3"/>
        <v>9052.1999999999989</v>
      </c>
      <c r="P36" s="51">
        <f t="shared" si="4"/>
        <v>0</v>
      </c>
      <c r="Q36" s="49">
        <f t="shared" si="5"/>
        <v>0</v>
      </c>
      <c r="R36" s="50"/>
      <c r="S36" s="49">
        <f t="shared" si="6"/>
        <v>0</v>
      </c>
      <c r="T36" s="49">
        <f t="shared" si="7"/>
        <v>9052.1999999999989</v>
      </c>
      <c r="U36" s="51">
        <f t="shared" si="8"/>
        <v>0</v>
      </c>
      <c r="V36" s="44"/>
      <c r="W36" s="45"/>
      <c r="X36" s="45"/>
      <c r="Y36" s="45"/>
      <c r="Z36" s="45"/>
      <c r="AA36" s="45"/>
      <c r="AB36" s="45"/>
      <c r="AC36" s="45"/>
      <c r="AD36" s="45"/>
      <c r="AE36" s="45"/>
      <c r="AF36" s="45"/>
      <c r="AG36" s="45"/>
      <c r="AH36" s="45"/>
      <c r="AI36" s="45"/>
      <c r="AJ36" s="45"/>
      <c r="AK36" s="45"/>
      <c r="AL36" s="45"/>
    </row>
    <row r="37" spans="1:38" ht="15.75" x14ac:dyDescent="0.3">
      <c r="A37" s="20" t="s">
        <v>113</v>
      </c>
      <c r="B37" s="20" t="s">
        <v>26</v>
      </c>
      <c r="C37" s="21" t="s">
        <v>104</v>
      </c>
      <c r="D37" s="36" t="s">
        <v>96</v>
      </c>
      <c r="E37" s="22">
        <v>600</v>
      </c>
      <c r="F37" s="22">
        <v>1</v>
      </c>
      <c r="G37" s="22" t="s">
        <v>39</v>
      </c>
      <c r="H37" s="23">
        <v>3.55</v>
      </c>
      <c r="I37" s="24">
        <v>1</v>
      </c>
      <c r="J37" s="22">
        <f t="shared" si="13"/>
        <v>2130</v>
      </c>
      <c r="K37" s="22">
        <f t="shared" si="14"/>
        <v>2619.9</v>
      </c>
      <c r="L37" s="23">
        <f t="shared" si="15"/>
        <v>3003.2999999999997</v>
      </c>
      <c r="M37" s="49">
        <f t="shared" si="12"/>
        <v>3003.2999999999997</v>
      </c>
      <c r="N37" s="77">
        <f>(SUMIFS('Expense Allocation'!$J$8:$J$157,'Expense Allocation'!$F$8:$F$157,$A37)+SUMIFS('Expense Allocation'!$K$8:$K$157,'Expense Allocation'!$H$8:$H$157,$A37))*'Expense Allocation'!$B$3</f>
        <v>0</v>
      </c>
      <c r="O37" s="49">
        <f t="shared" si="3"/>
        <v>3003.2999999999997</v>
      </c>
      <c r="P37" s="51">
        <f t="shared" si="4"/>
        <v>0</v>
      </c>
      <c r="Q37" s="49">
        <f t="shared" si="5"/>
        <v>0</v>
      </c>
      <c r="R37" s="50"/>
      <c r="S37" s="49">
        <f t="shared" si="6"/>
        <v>0</v>
      </c>
      <c r="T37" s="49">
        <f t="shared" si="7"/>
        <v>3003.2999999999997</v>
      </c>
      <c r="U37" s="51">
        <f t="shared" si="8"/>
        <v>0</v>
      </c>
      <c r="V37" s="44"/>
      <c r="W37" s="45"/>
      <c r="X37" s="45"/>
      <c r="Y37" s="45"/>
      <c r="Z37" s="45"/>
      <c r="AA37" s="45"/>
      <c r="AB37" s="45"/>
      <c r="AC37" s="45"/>
      <c r="AD37" s="45"/>
      <c r="AE37" s="45"/>
      <c r="AF37" s="45"/>
      <c r="AG37" s="45"/>
      <c r="AH37" s="45"/>
      <c r="AI37" s="45"/>
      <c r="AJ37" s="45"/>
      <c r="AK37" s="45"/>
      <c r="AL37" s="45"/>
    </row>
    <row r="38" spans="1:38" ht="15.75" x14ac:dyDescent="0.3">
      <c r="A38" s="20" t="s">
        <v>68</v>
      </c>
      <c r="B38" s="20" t="s">
        <v>26</v>
      </c>
      <c r="C38" s="21" t="s">
        <v>66</v>
      </c>
      <c r="D38" s="22" t="s">
        <v>40</v>
      </c>
      <c r="E38" s="22">
        <v>1</v>
      </c>
      <c r="F38" s="22">
        <v>1</v>
      </c>
      <c r="G38" s="22" t="s">
        <v>39</v>
      </c>
      <c r="H38" s="23">
        <v>11810</v>
      </c>
      <c r="I38" s="24">
        <v>1</v>
      </c>
      <c r="J38" s="22">
        <v>11810</v>
      </c>
      <c r="K38" s="22">
        <f>J38*1.23</f>
        <v>14526.3</v>
      </c>
      <c r="L38" s="23">
        <f>J38*1.41</f>
        <v>16652.099999999999</v>
      </c>
      <c r="M38" s="49">
        <f t="shared" si="12"/>
        <v>16652.099999999999</v>
      </c>
      <c r="N38" s="77">
        <f>(SUMIFS('Expense Allocation'!$J$8:$J$157,'Expense Allocation'!$F$8:$F$157,$A38)+SUMIFS('Expense Allocation'!$K$8:$K$157,'Expense Allocation'!$H$8:$H$157,$A38))*'Expense Allocation'!$B$3</f>
        <v>17773.791659999999</v>
      </c>
      <c r="O38" s="49">
        <f t="shared" si="3"/>
        <v>-1121.6916600000004</v>
      </c>
      <c r="P38" s="51">
        <f t="shared" si="4"/>
        <v>1.0673603725656224</v>
      </c>
      <c r="Q38" s="49">
        <f t="shared" si="5"/>
        <v>0</v>
      </c>
      <c r="R38" s="50"/>
      <c r="S38" s="49">
        <f t="shared" si="6"/>
        <v>17773.791659999999</v>
      </c>
      <c r="T38" s="49">
        <f t="shared" si="7"/>
        <v>-1121.6916600000004</v>
      </c>
      <c r="U38" s="51">
        <f t="shared" si="8"/>
        <v>1.0673603725656224</v>
      </c>
      <c r="V38" s="44"/>
      <c r="W38" s="45"/>
      <c r="X38" s="45"/>
      <c r="Y38" s="45"/>
      <c r="Z38" s="45"/>
      <c r="AA38" s="45"/>
      <c r="AB38" s="45"/>
      <c r="AC38" s="45"/>
      <c r="AD38" s="45"/>
      <c r="AE38" s="45"/>
      <c r="AF38" s="45"/>
      <c r="AG38" s="45"/>
      <c r="AH38" s="45"/>
      <c r="AI38" s="45"/>
      <c r="AJ38" s="45"/>
      <c r="AK38" s="45"/>
      <c r="AL38" s="45"/>
    </row>
    <row r="39" spans="1:38" ht="15.75" x14ac:dyDescent="0.3">
      <c r="A39" s="79" t="s">
        <v>330</v>
      </c>
      <c r="B39" s="79"/>
      <c r="C39" s="80"/>
      <c r="D39" s="81"/>
      <c r="E39" s="82"/>
      <c r="F39" s="82"/>
      <c r="G39" s="82"/>
      <c r="H39" s="83"/>
      <c r="I39" s="84"/>
      <c r="J39" s="82"/>
      <c r="K39" s="82"/>
      <c r="L39" s="83"/>
      <c r="M39" s="85"/>
      <c r="N39" s="86"/>
      <c r="O39" s="85"/>
      <c r="P39" s="87"/>
      <c r="Q39" s="85"/>
      <c r="R39" s="88"/>
      <c r="S39" s="85"/>
      <c r="T39" s="85"/>
      <c r="U39" s="87"/>
      <c r="V39" s="44"/>
      <c r="W39" s="45"/>
      <c r="X39" s="45"/>
      <c r="Y39" s="45"/>
      <c r="Z39" s="45"/>
      <c r="AA39" s="45"/>
      <c r="AB39" s="45"/>
      <c r="AC39" s="45"/>
      <c r="AD39" s="45"/>
      <c r="AE39" s="45"/>
      <c r="AF39" s="45"/>
      <c r="AG39" s="45"/>
      <c r="AH39" s="45"/>
      <c r="AI39" s="45"/>
      <c r="AJ39" s="45"/>
      <c r="AK39" s="45"/>
      <c r="AL39" s="45"/>
    </row>
    <row r="40" spans="1:38" ht="15.75" x14ac:dyDescent="0.3">
      <c r="A40" s="20" t="s">
        <v>320</v>
      </c>
      <c r="B40" s="20" t="s">
        <v>65</v>
      </c>
      <c r="C40" s="21" t="s">
        <v>331</v>
      </c>
      <c r="D40" s="36" t="s">
        <v>40</v>
      </c>
      <c r="E40" s="22"/>
      <c r="F40" s="22"/>
      <c r="G40" s="22" t="s">
        <v>39</v>
      </c>
      <c r="H40" s="23"/>
      <c r="I40" s="24"/>
      <c r="J40" s="95">
        <f>I40*H40*F40*E40</f>
        <v>0</v>
      </c>
      <c r="K40" s="95">
        <f>J40*1.23</f>
        <v>0</v>
      </c>
      <c r="L40" s="95">
        <f>J40*1.41</f>
        <v>0</v>
      </c>
      <c r="M40" s="49">
        <f>L40</f>
        <v>0</v>
      </c>
      <c r="N40" s="77">
        <f>(SUMIFS('Expense Allocation'!$J$8:$J$157,'Expense Allocation'!$F$8:$F$157,$A40)+SUMIFS('Expense Allocation'!$K$8:$K$157,'Expense Allocation'!$H$8:$H$157,$A40))*'Expense Allocation'!$B$3</f>
        <v>52067.020649999991</v>
      </c>
      <c r="O40" s="49">
        <f t="shared" ref="O40:O45" si="16">M40-N40</f>
        <v>-52067.020649999991</v>
      </c>
      <c r="P40" s="51" t="str">
        <f t="shared" ref="P40:P45" si="17">IF(M40=0,"Unbudgeted",N40/M40)</f>
        <v>Unbudgeted</v>
      </c>
      <c r="Q40" s="49">
        <f t="shared" ref="Q40:Q45" si="18">SUM(V40:AL40)</f>
        <v>0</v>
      </c>
      <c r="R40" s="50"/>
      <c r="S40" s="49">
        <f t="shared" ref="S40:S45" si="19">N40+Q40+R40</f>
        <v>52067.020649999991</v>
      </c>
      <c r="T40" s="49">
        <f t="shared" ref="T40:T45" si="20">M40-S40</f>
        <v>-52067.020649999991</v>
      </c>
      <c r="U40" s="51" t="str">
        <f t="shared" ref="U40:U45" si="21">IF(M40=0,"Unbudgeted",S40/M40)</f>
        <v>Unbudgeted</v>
      </c>
      <c r="V40" s="44"/>
      <c r="W40" s="45"/>
      <c r="X40" s="45"/>
      <c r="Y40" s="45"/>
      <c r="Z40" s="45"/>
      <c r="AA40" s="45"/>
      <c r="AB40" s="45"/>
      <c r="AC40" s="45"/>
      <c r="AD40" s="45"/>
      <c r="AE40" s="45"/>
      <c r="AF40" s="45"/>
      <c r="AG40" s="45"/>
      <c r="AH40" s="45"/>
      <c r="AI40" s="45"/>
      <c r="AJ40" s="45"/>
      <c r="AK40" s="45"/>
      <c r="AL40" s="45"/>
    </row>
    <row r="41" spans="1:38" ht="31.5" x14ac:dyDescent="0.3">
      <c r="A41" s="20" t="s">
        <v>322</v>
      </c>
      <c r="B41" s="20" t="s">
        <v>25</v>
      </c>
      <c r="C41" s="21" t="s">
        <v>332</v>
      </c>
      <c r="D41" s="36" t="s">
        <v>40</v>
      </c>
      <c r="E41" s="22"/>
      <c r="F41" s="22"/>
      <c r="G41" s="22" t="s">
        <v>39</v>
      </c>
      <c r="H41" s="23"/>
      <c r="I41" s="24"/>
      <c r="J41" s="95">
        <f>I41*H41*F41*E41</f>
        <v>0</v>
      </c>
      <c r="K41" s="95">
        <f>J41*1.23</f>
        <v>0</v>
      </c>
      <c r="L41" s="95">
        <f>J41*1.41</f>
        <v>0</v>
      </c>
      <c r="M41" s="49">
        <f>L41</f>
        <v>0</v>
      </c>
      <c r="N41" s="77">
        <f>(SUMIFS('Expense Allocation'!$J$8:$J$157,'Expense Allocation'!$F$8:$F$157,$A41)+SUMIFS('Expense Allocation'!$K$8:$K$157,'Expense Allocation'!$H$8:$H$157,$A41))*'Expense Allocation'!$B$3</f>
        <v>16399.484399999998</v>
      </c>
      <c r="O41" s="49">
        <f t="shared" si="16"/>
        <v>-16399.484399999998</v>
      </c>
      <c r="P41" s="51" t="str">
        <f t="shared" si="17"/>
        <v>Unbudgeted</v>
      </c>
      <c r="Q41" s="49">
        <f t="shared" si="18"/>
        <v>0</v>
      </c>
      <c r="R41" s="50"/>
      <c r="S41" s="49">
        <f t="shared" si="19"/>
        <v>16399.484399999998</v>
      </c>
      <c r="T41" s="49">
        <f t="shared" si="20"/>
        <v>-16399.484399999998</v>
      </c>
      <c r="U41" s="51" t="str">
        <f t="shared" si="21"/>
        <v>Unbudgeted</v>
      </c>
      <c r="V41" s="44"/>
      <c r="W41" s="45"/>
      <c r="X41" s="45"/>
      <c r="Y41" s="45"/>
      <c r="Z41" s="45"/>
      <c r="AA41" s="45"/>
      <c r="AB41" s="45"/>
      <c r="AC41" s="45"/>
      <c r="AD41" s="45"/>
      <c r="AE41" s="45"/>
      <c r="AF41" s="45"/>
      <c r="AG41" s="45"/>
      <c r="AH41" s="45"/>
      <c r="AI41" s="45"/>
      <c r="AJ41" s="45"/>
      <c r="AK41" s="45"/>
      <c r="AL41" s="45"/>
    </row>
    <row r="42" spans="1:38" ht="31.5" x14ac:dyDescent="0.3">
      <c r="A42" s="20" t="s">
        <v>324</v>
      </c>
      <c r="B42" s="20" t="s">
        <v>26</v>
      </c>
      <c r="C42" s="21" t="s">
        <v>333</v>
      </c>
      <c r="D42" s="36" t="s">
        <v>40</v>
      </c>
      <c r="E42" s="22"/>
      <c r="F42" s="22"/>
      <c r="G42" s="22" t="s">
        <v>39</v>
      </c>
      <c r="H42" s="23"/>
      <c r="I42" s="24"/>
      <c r="J42" s="95">
        <f>I42*H42*F42*E42</f>
        <v>0</v>
      </c>
      <c r="K42" s="95">
        <f>J42*1.23</f>
        <v>0</v>
      </c>
      <c r="L42" s="95">
        <f>J42*1.41</f>
        <v>0</v>
      </c>
      <c r="M42" s="49">
        <f>L42</f>
        <v>0</v>
      </c>
      <c r="N42" s="77">
        <f>(SUMIFS('Expense Allocation'!$J$8:$J$157,'Expense Allocation'!$F$8:$F$157,$A42)+SUMIFS('Expense Allocation'!$K$8:$K$157,'Expense Allocation'!$H$8:$H$157,$A42))*'Expense Allocation'!$B$3</f>
        <v>8712.349110000001</v>
      </c>
      <c r="O42" s="49">
        <f t="shared" si="16"/>
        <v>-8712.349110000001</v>
      </c>
      <c r="P42" s="51" t="str">
        <f t="shared" si="17"/>
        <v>Unbudgeted</v>
      </c>
      <c r="Q42" s="49">
        <f t="shared" si="18"/>
        <v>0</v>
      </c>
      <c r="R42" s="50"/>
      <c r="S42" s="49">
        <f t="shared" si="19"/>
        <v>8712.349110000001</v>
      </c>
      <c r="T42" s="49">
        <f t="shared" si="20"/>
        <v>-8712.349110000001</v>
      </c>
      <c r="U42" s="51" t="str">
        <f t="shared" si="21"/>
        <v>Unbudgeted</v>
      </c>
      <c r="V42" s="44"/>
      <c r="W42" s="45"/>
      <c r="X42" s="45"/>
      <c r="Y42" s="45"/>
      <c r="Z42" s="45"/>
      <c r="AA42" s="45"/>
      <c r="AB42" s="45"/>
      <c r="AC42" s="45"/>
      <c r="AD42" s="45"/>
      <c r="AE42" s="45"/>
      <c r="AF42" s="45"/>
      <c r="AG42" s="45"/>
      <c r="AH42" s="45"/>
      <c r="AI42" s="45"/>
      <c r="AJ42" s="45"/>
      <c r="AK42" s="45"/>
      <c r="AL42" s="45"/>
    </row>
    <row r="43" spans="1:38" ht="15.75" x14ac:dyDescent="0.3">
      <c r="A43" s="20" t="s">
        <v>326</v>
      </c>
      <c r="B43" s="20" t="s">
        <v>25</v>
      </c>
      <c r="C43" s="21" t="s">
        <v>334</v>
      </c>
      <c r="D43" s="36" t="s">
        <v>40</v>
      </c>
      <c r="E43" s="22"/>
      <c r="F43" s="22"/>
      <c r="G43" s="22" t="s">
        <v>39</v>
      </c>
      <c r="H43" s="23"/>
      <c r="I43" s="24"/>
      <c r="J43" s="95">
        <f>I43*H43*F43*E43</f>
        <v>0</v>
      </c>
      <c r="K43" s="95">
        <f>J43*1.23</f>
        <v>0</v>
      </c>
      <c r="L43" s="95">
        <f>J43*1.41</f>
        <v>0</v>
      </c>
      <c r="M43" s="49">
        <f>L43</f>
        <v>0</v>
      </c>
      <c r="N43" s="77">
        <f>(SUMIFS('Expense Allocation'!$J$8:$J$157,'Expense Allocation'!$F$8:$F$157,$A43)+SUMIFS('Expense Allocation'!$K$8:$K$157,'Expense Allocation'!$H$8:$H$157,$A43))*'Expense Allocation'!$B$3</f>
        <v>3094.0475999999999</v>
      </c>
      <c r="O43" s="49">
        <f t="shared" si="16"/>
        <v>-3094.0475999999999</v>
      </c>
      <c r="P43" s="51" t="str">
        <f t="shared" si="17"/>
        <v>Unbudgeted</v>
      </c>
      <c r="Q43" s="49">
        <f t="shared" si="18"/>
        <v>0</v>
      </c>
      <c r="R43" s="50"/>
      <c r="S43" s="49">
        <f t="shared" si="19"/>
        <v>3094.0475999999999</v>
      </c>
      <c r="T43" s="49">
        <f t="shared" si="20"/>
        <v>-3094.0475999999999</v>
      </c>
      <c r="U43" s="51" t="str">
        <f t="shared" si="21"/>
        <v>Unbudgeted</v>
      </c>
      <c r="V43" s="44"/>
      <c r="W43" s="45"/>
      <c r="X43" s="45"/>
      <c r="Y43" s="45"/>
      <c r="Z43" s="45"/>
      <c r="AA43" s="45"/>
      <c r="AB43" s="45"/>
      <c r="AC43" s="45"/>
      <c r="AD43" s="45"/>
      <c r="AE43" s="45"/>
      <c r="AF43" s="45"/>
      <c r="AG43" s="45"/>
      <c r="AH43" s="45"/>
      <c r="AI43" s="45"/>
      <c r="AJ43" s="45"/>
      <c r="AK43" s="45"/>
      <c r="AL43" s="45"/>
    </row>
    <row r="44" spans="1:38" ht="15.75" x14ac:dyDescent="0.3">
      <c r="A44" s="20" t="s">
        <v>328</v>
      </c>
      <c r="B44" s="20" t="s">
        <v>335</v>
      </c>
      <c r="C44" s="21" t="s">
        <v>336</v>
      </c>
      <c r="D44" s="36" t="s">
        <v>40</v>
      </c>
      <c r="E44" s="22"/>
      <c r="F44" s="22"/>
      <c r="G44" s="22" t="s">
        <v>39</v>
      </c>
      <c r="H44" s="23"/>
      <c r="I44" s="24"/>
      <c r="J44" s="95">
        <f>I44*H44*F44*E44</f>
        <v>0</v>
      </c>
      <c r="K44" s="95">
        <f>J44*1.23</f>
        <v>0</v>
      </c>
      <c r="L44" s="95">
        <f>J44*1.41</f>
        <v>0</v>
      </c>
      <c r="M44" s="49">
        <f>L44</f>
        <v>0</v>
      </c>
      <c r="N44" s="77">
        <f>(SUMIFS('Expense Allocation'!$J$8:$J$157,'Expense Allocation'!$F$8:$F$157,$A44)+SUMIFS('Expense Allocation'!$K$8:$K$157,'Expense Allocation'!$H$8:$H$157,$A44))*'Expense Allocation'!$B$3</f>
        <v>70.5</v>
      </c>
      <c r="O44" s="49">
        <f t="shared" si="16"/>
        <v>-70.5</v>
      </c>
      <c r="P44" s="51" t="str">
        <f t="shared" si="17"/>
        <v>Unbudgeted</v>
      </c>
      <c r="Q44" s="49">
        <f t="shared" si="18"/>
        <v>0</v>
      </c>
      <c r="R44" s="50"/>
      <c r="S44" s="49">
        <f t="shared" si="19"/>
        <v>70.5</v>
      </c>
      <c r="T44" s="49">
        <f t="shared" si="20"/>
        <v>-70.5</v>
      </c>
      <c r="U44" s="51" t="str">
        <f t="shared" si="21"/>
        <v>Unbudgeted</v>
      </c>
      <c r="V44" s="44"/>
      <c r="W44" s="45"/>
      <c r="X44" s="45"/>
      <c r="Y44" s="45"/>
      <c r="Z44" s="45"/>
      <c r="AA44" s="45"/>
      <c r="AB44" s="45"/>
      <c r="AC44" s="45"/>
      <c r="AD44" s="45"/>
      <c r="AE44" s="45"/>
      <c r="AF44" s="45"/>
      <c r="AG44" s="45"/>
      <c r="AH44" s="45"/>
      <c r="AI44" s="45"/>
      <c r="AJ44" s="45"/>
      <c r="AK44" s="45"/>
      <c r="AL44" s="45"/>
    </row>
    <row r="45" spans="1:38" ht="15.75" x14ac:dyDescent="0.3">
      <c r="A45" s="97" t="s">
        <v>337</v>
      </c>
      <c r="B45" s="97"/>
      <c r="C45" s="97"/>
      <c r="D45" s="97"/>
      <c r="E45" s="97"/>
      <c r="F45" s="97"/>
      <c r="G45" s="97"/>
      <c r="H45" s="97"/>
      <c r="I45" s="97"/>
      <c r="J45" s="15">
        <f>SUM(J40:J44)</f>
        <v>0</v>
      </c>
      <c r="K45" s="15">
        <f>SUM(K40:K44)</f>
        <v>0</v>
      </c>
      <c r="L45" s="15">
        <f>SUM(L40:L44)</f>
        <v>0</v>
      </c>
      <c r="M45" s="52">
        <f>SUM(M40:M44)</f>
        <v>0</v>
      </c>
      <c r="N45" s="78">
        <f>SUM(N40:N44)</f>
        <v>80343.401759999993</v>
      </c>
      <c r="O45" s="52">
        <f t="shared" si="16"/>
        <v>-80343.401759999993</v>
      </c>
      <c r="P45" s="53" t="str">
        <f t="shared" si="17"/>
        <v>Unbudgeted</v>
      </c>
      <c r="Q45" s="54">
        <f t="shared" si="18"/>
        <v>0</v>
      </c>
      <c r="R45" s="55"/>
      <c r="S45" s="54">
        <f t="shared" si="19"/>
        <v>80343.401759999993</v>
      </c>
      <c r="T45" s="54">
        <f t="shared" si="20"/>
        <v>-80343.401759999993</v>
      </c>
      <c r="U45" s="53" t="str">
        <f t="shared" si="21"/>
        <v>Unbudgeted</v>
      </c>
      <c r="V45" s="44"/>
      <c r="W45" s="45"/>
      <c r="X45" s="45"/>
      <c r="Y45" s="45"/>
      <c r="Z45" s="45"/>
      <c r="AA45" s="45"/>
      <c r="AB45" s="45"/>
      <c r="AC45" s="45"/>
      <c r="AD45" s="45"/>
      <c r="AE45" s="45"/>
      <c r="AF45" s="45"/>
      <c r="AG45" s="45"/>
      <c r="AH45" s="45"/>
      <c r="AI45" s="45"/>
      <c r="AJ45" s="45"/>
      <c r="AK45" s="45"/>
      <c r="AL45" s="45"/>
    </row>
    <row r="46" spans="1:38" ht="15.75" x14ac:dyDescent="0.3">
      <c r="A46" s="97" t="s">
        <v>56</v>
      </c>
      <c r="B46" s="97"/>
      <c r="C46" s="97"/>
      <c r="D46" s="97"/>
      <c r="E46" s="97"/>
      <c r="F46" s="97"/>
      <c r="G46" s="97"/>
      <c r="H46" s="97"/>
      <c r="I46" s="97"/>
      <c r="J46" s="15">
        <f>SUM(J26:J38)</f>
        <v>653314.9</v>
      </c>
      <c r="K46" s="15">
        <f>SUM(K26:K38)</f>
        <v>803577.32700000005</v>
      </c>
      <c r="L46" s="15">
        <f>SUM(L26:L38)</f>
        <v>921174.00899999996</v>
      </c>
      <c r="M46" s="52">
        <f t="shared" si="12"/>
        <v>921174.00899999996</v>
      </c>
      <c r="N46" s="78">
        <f>SUM(N26:N38)</f>
        <v>814832.80868999986</v>
      </c>
      <c r="O46" s="52">
        <f t="shared" si="3"/>
        <v>106341.2003100001</v>
      </c>
      <c r="P46" s="53">
        <f t="shared" si="4"/>
        <v>0.88455905261000467</v>
      </c>
      <c r="Q46" s="54">
        <f t="shared" si="5"/>
        <v>0</v>
      </c>
      <c r="R46" s="55"/>
      <c r="S46" s="54">
        <f t="shared" si="6"/>
        <v>814832.80868999986</v>
      </c>
      <c r="T46" s="54">
        <f t="shared" si="7"/>
        <v>106341.2003100001</v>
      </c>
      <c r="U46" s="53">
        <f t="shared" si="8"/>
        <v>0.88455905261000467</v>
      </c>
      <c r="V46" s="44"/>
      <c r="W46" s="45"/>
      <c r="X46" s="45"/>
      <c r="Y46" s="45"/>
      <c r="Z46" s="45"/>
      <c r="AA46" s="45"/>
      <c r="AB46" s="45"/>
      <c r="AC46" s="45"/>
      <c r="AD46" s="45"/>
      <c r="AE46" s="45"/>
      <c r="AF46" s="45"/>
      <c r="AG46" s="45"/>
      <c r="AH46" s="45"/>
      <c r="AI46" s="45"/>
      <c r="AJ46" s="45"/>
      <c r="AK46" s="45"/>
      <c r="AL46" s="45"/>
    </row>
    <row r="47" spans="1:38" ht="15.75" x14ac:dyDescent="0.3">
      <c r="A47" s="26" t="s">
        <v>57</v>
      </c>
      <c r="B47" s="27"/>
      <c r="C47" s="27"/>
      <c r="D47" s="27"/>
      <c r="E47" s="27"/>
      <c r="F47" s="27"/>
      <c r="G47" s="27"/>
      <c r="H47" s="27"/>
      <c r="I47" s="27"/>
      <c r="J47" s="15">
        <f>SUM(J46,J45,J24,J18)</f>
        <v>653314.9</v>
      </c>
      <c r="K47" s="15">
        <f>SUM(K46,K45,K24,K18)</f>
        <v>803577.32700000005</v>
      </c>
      <c r="L47" s="15">
        <f>SUM(L46,L45,L24,L18)</f>
        <v>921174.00899999996</v>
      </c>
      <c r="M47" s="52">
        <f t="shared" si="12"/>
        <v>921174.00899999996</v>
      </c>
      <c r="N47" s="78">
        <f>SUM(N46,N45,N24,N18)</f>
        <v>895176.2104499999</v>
      </c>
      <c r="O47" s="52">
        <f t="shared" si="3"/>
        <v>25997.798550000065</v>
      </c>
      <c r="P47" s="53">
        <f t="shared" si="4"/>
        <v>0.97177753790706434</v>
      </c>
      <c r="Q47" s="54">
        <f t="shared" si="5"/>
        <v>0</v>
      </c>
      <c r="R47" s="55"/>
      <c r="S47" s="54">
        <f t="shared" si="6"/>
        <v>895176.2104499999</v>
      </c>
      <c r="T47" s="54">
        <f t="shared" si="7"/>
        <v>25997.798550000065</v>
      </c>
      <c r="U47" s="53">
        <f t="shared" si="8"/>
        <v>0.97177753790706434</v>
      </c>
      <c r="V47" s="44"/>
      <c r="W47" s="45"/>
      <c r="X47" s="45"/>
      <c r="Y47" s="45"/>
      <c r="Z47" s="45"/>
      <c r="AA47" s="45"/>
      <c r="AB47" s="45"/>
      <c r="AC47" s="45"/>
      <c r="AD47" s="45"/>
      <c r="AE47" s="45"/>
      <c r="AF47" s="45"/>
      <c r="AG47" s="45"/>
      <c r="AH47" s="45"/>
      <c r="AI47" s="45"/>
      <c r="AJ47" s="45"/>
      <c r="AK47" s="45"/>
      <c r="AL47" s="45"/>
    </row>
    <row r="49" spans="3:12" x14ac:dyDescent="0.25">
      <c r="C49" s="89" t="s">
        <v>338</v>
      </c>
      <c r="D49" s="89"/>
      <c r="E49" s="89"/>
      <c r="F49" s="89"/>
      <c r="G49" s="89"/>
      <c r="H49" s="89"/>
      <c r="I49" s="89"/>
      <c r="J49" s="89" t="s">
        <v>39</v>
      </c>
      <c r="K49" s="89"/>
      <c r="L49" s="89" t="s">
        <v>60</v>
      </c>
    </row>
    <row r="50" spans="3:12" x14ac:dyDescent="0.25">
      <c r="C50" t="s">
        <v>339</v>
      </c>
      <c r="J50" s="90">
        <v>652209.6</v>
      </c>
      <c r="K50" s="91"/>
      <c r="L50" s="91">
        <f>J50*'Expense Allocation'!$B$3</f>
        <v>919615.53599999996</v>
      </c>
    </row>
    <row r="51" spans="3:12" x14ac:dyDescent="0.25">
      <c r="C51" t="s">
        <v>340</v>
      </c>
      <c r="J51" s="91">
        <f>L51/'Expense Allocation'!$B$3</f>
        <v>653314.9</v>
      </c>
      <c r="K51" s="91"/>
      <c r="L51" s="91">
        <f>M47</f>
        <v>921174.00899999996</v>
      </c>
    </row>
    <row r="52" spans="3:12" x14ac:dyDescent="0.25">
      <c r="C52" t="s">
        <v>341</v>
      </c>
      <c r="J52" s="91">
        <f>L52/'Expense Allocation'!$B$3</f>
        <v>577895.60899999994</v>
      </c>
      <c r="K52" s="91"/>
      <c r="L52" s="91">
        <f>SUM(N46,N24,N18)</f>
        <v>814832.80868999986</v>
      </c>
    </row>
    <row r="53" spans="3:12" x14ac:dyDescent="0.25">
      <c r="C53" t="s">
        <v>342</v>
      </c>
      <c r="J53" s="91">
        <f>L53/'Expense Allocation'!$B$3</f>
        <v>56981.135999999999</v>
      </c>
      <c r="K53" s="91"/>
      <c r="L53" s="91">
        <f>N45</f>
        <v>80343.401759999993</v>
      </c>
    </row>
    <row r="54" spans="3:12" x14ac:dyDescent="0.25">
      <c r="C54" s="66" t="s">
        <v>343</v>
      </c>
      <c r="D54" s="66"/>
      <c r="E54" s="66"/>
      <c r="F54" s="66"/>
      <c r="G54" s="66"/>
      <c r="H54" s="66"/>
      <c r="I54" s="66"/>
      <c r="J54" s="92">
        <f>L54/'Expense Allocation'!$B$3</f>
        <v>634876.745</v>
      </c>
      <c r="K54" s="92"/>
      <c r="L54" s="92">
        <f>N47</f>
        <v>895176.2104499999</v>
      </c>
    </row>
    <row r="55" spans="3:12" x14ac:dyDescent="0.25">
      <c r="C55" t="s">
        <v>344</v>
      </c>
      <c r="J55" s="91">
        <f>L55/'Expense Allocation'!$B$3</f>
        <v>18438.155000000046</v>
      </c>
      <c r="K55" s="91"/>
      <c r="L55" s="91">
        <f>L51-L54</f>
        <v>25997.798550000065</v>
      </c>
    </row>
    <row r="56" spans="3:12" x14ac:dyDescent="0.25">
      <c r="C56" s="66" t="s">
        <v>345</v>
      </c>
      <c r="D56" s="66"/>
      <c r="E56" s="66"/>
      <c r="F56" s="66"/>
      <c r="G56" s="66"/>
      <c r="H56" s="66"/>
      <c r="I56" s="66"/>
      <c r="J56" s="92">
        <f>J50-J54</f>
        <v>17332.854999999981</v>
      </c>
      <c r="K56" s="92"/>
      <c r="L56" s="92">
        <f>L50-L54</f>
        <v>24439.325550000067</v>
      </c>
    </row>
    <row r="57" spans="3:12" x14ac:dyDescent="0.25">
      <c r="C57" s="93" t="s">
        <v>346</v>
      </c>
      <c r="D57" s="93"/>
      <c r="E57" s="93"/>
      <c r="F57" s="93"/>
      <c r="G57" s="93"/>
      <c r="H57" s="93"/>
      <c r="I57" s="93"/>
      <c r="J57" s="93"/>
      <c r="K57" s="93"/>
      <c r="L57" s="94">
        <f>L54/L51</f>
        <v>0.97177753790706434</v>
      </c>
    </row>
  </sheetData>
  <mergeCells count="10">
    <mergeCell ref="A25:L25"/>
    <mergeCell ref="A46:I46"/>
    <mergeCell ref="V4:AL4"/>
    <mergeCell ref="D1:H3"/>
    <mergeCell ref="K2:L2"/>
    <mergeCell ref="K3:L3"/>
    <mergeCell ref="A5:L5"/>
    <mergeCell ref="A18:I18"/>
    <mergeCell ref="A24:I24"/>
    <mergeCell ref="A45:I45"/>
  </mergeCells>
  <phoneticPr fontId="10"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6E07-76FB-45F4-919D-DAED8CB3C00E}">
  <dimension ref="A1:L157"/>
  <sheetViews>
    <sheetView topLeftCell="B1" workbookViewId="0">
      <pane ySplit="7" topLeftCell="A91" activePane="bottomLeft" state="frozen"/>
      <selection pane="bottomLeft" activeCell="E8" sqref="E8:E157"/>
    </sheetView>
  </sheetViews>
  <sheetFormatPr defaultRowHeight="15" x14ac:dyDescent="0.25"/>
  <cols>
    <col min="1" max="2" width="28.5703125" customWidth="1"/>
    <col min="3" max="3" width="13.28515625" customWidth="1"/>
    <col min="4" max="4" width="137.42578125" bestFit="1" customWidth="1"/>
    <col min="5" max="11" width="14.28515625" customWidth="1"/>
    <col min="12" max="12" width="61" customWidth="1"/>
  </cols>
  <sheetData>
    <row r="1" spans="1:12" ht="18.75" x14ac:dyDescent="0.3">
      <c r="A1" s="62" t="s">
        <v>301</v>
      </c>
    </row>
    <row r="2" spans="1:12" x14ac:dyDescent="0.25">
      <c r="A2" s="63" t="s">
        <v>302</v>
      </c>
    </row>
    <row r="3" spans="1:12" x14ac:dyDescent="0.25">
      <c r="A3" s="66" t="s">
        <v>303</v>
      </c>
      <c r="B3" s="64">
        <v>1.41</v>
      </c>
      <c r="D3" s="66" t="s">
        <v>305</v>
      </c>
      <c r="E3" s="67">
        <f>SUM(E8:E157)</f>
        <v>634876.74499999953</v>
      </c>
    </row>
    <row r="4" spans="1:12" x14ac:dyDescent="0.25">
      <c r="A4" s="66" t="s">
        <v>304</v>
      </c>
      <c r="B4" s="65">
        <v>634876.745</v>
      </c>
      <c r="D4" s="66" t="s">
        <v>306</v>
      </c>
      <c r="E4" s="67">
        <f>SUM(J8:K157)</f>
        <v>634876.74500000256</v>
      </c>
    </row>
    <row r="5" spans="1:12" x14ac:dyDescent="0.25">
      <c r="D5" s="66" t="s">
        <v>307</v>
      </c>
      <c r="E5" s="67">
        <f>ROUND(E3-E4,3)</f>
        <v>0</v>
      </c>
    </row>
    <row r="6" spans="1:12" x14ac:dyDescent="0.25">
      <c r="D6" s="66" t="s">
        <v>308</v>
      </c>
      <c r="E6" s="67">
        <f>E3-B4</f>
        <v>0</v>
      </c>
    </row>
    <row r="7" spans="1:12" ht="26.25" x14ac:dyDescent="0.25">
      <c r="A7" s="68" t="s">
        <v>309</v>
      </c>
      <c r="B7" s="68" t="s">
        <v>310</v>
      </c>
      <c r="C7" s="68" t="s">
        <v>311</v>
      </c>
      <c r="D7" s="68" t="s">
        <v>0</v>
      </c>
      <c r="E7" s="68" t="s">
        <v>312</v>
      </c>
      <c r="F7" s="68" t="s">
        <v>313</v>
      </c>
      <c r="G7" s="68" t="s">
        <v>314</v>
      </c>
      <c r="H7" s="68" t="s">
        <v>315</v>
      </c>
      <c r="I7" s="68" t="s">
        <v>316</v>
      </c>
      <c r="J7" s="68" t="s">
        <v>317</v>
      </c>
      <c r="K7" s="68" t="s">
        <v>318</v>
      </c>
      <c r="L7" s="68" t="s">
        <v>319</v>
      </c>
    </row>
    <row r="8" spans="1:12" x14ac:dyDescent="0.25">
      <c r="A8" s="69">
        <v>601008</v>
      </c>
      <c r="B8" s="70" t="s">
        <v>137</v>
      </c>
      <c r="C8" s="71">
        <v>46058</v>
      </c>
      <c r="D8" s="70" t="s">
        <v>138</v>
      </c>
      <c r="E8" s="72">
        <v>35</v>
      </c>
      <c r="F8" s="73" t="s">
        <v>328</v>
      </c>
      <c r="G8" s="74">
        <v>1</v>
      </c>
      <c r="H8" s="73"/>
      <c r="I8" s="74">
        <v>0</v>
      </c>
      <c r="J8" s="75">
        <f t="shared" ref="J8:J39" si="0">E8*G8</f>
        <v>35</v>
      </c>
      <c r="K8" s="75">
        <f t="shared" ref="K8:K39" si="1">E8*I8</f>
        <v>0</v>
      </c>
      <c r="L8" s="70" t="s">
        <v>329</v>
      </c>
    </row>
    <row r="9" spans="1:12" x14ac:dyDescent="0.25">
      <c r="A9" s="69">
        <v>601008</v>
      </c>
      <c r="B9" s="70" t="s">
        <v>137</v>
      </c>
      <c r="C9" s="71">
        <v>46097</v>
      </c>
      <c r="D9" s="70" t="s">
        <v>139</v>
      </c>
      <c r="E9" s="72">
        <v>5310</v>
      </c>
      <c r="F9" s="73" t="s">
        <v>68</v>
      </c>
      <c r="G9" s="74">
        <v>1</v>
      </c>
      <c r="H9" s="73"/>
      <c r="I9" s="74">
        <v>0</v>
      </c>
      <c r="J9" s="75">
        <f t="shared" si="0"/>
        <v>5310</v>
      </c>
      <c r="K9" s="75">
        <f t="shared" si="1"/>
        <v>0</v>
      </c>
      <c r="L9" s="70"/>
    </row>
    <row r="10" spans="1:12" x14ac:dyDescent="0.25">
      <c r="A10" s="69">
        <v>601008</v>
      </c>
      <c r="B10" s="70" t="s">
        <v>137</v>
      </c>
      <c r="C10" s="71">
        <v>46141</v>
      </c>
      <c r="D10" s="70" t="s">
        <v>140</v>
      </c>
      <c r="E10" s="72">
        <v>200</v>
      </c>
      <c r="F10" s="73" t="s">
        <v>68</v>
      </c>
      <c r="G10" s="74">
        <v>1</v>
      </c>
      <c r="H10" s="73"/>
      <c r="I10" s="74">
        <v>0</v>
      </c>
      <c r="J10" s="75">
        <f t="shared" si="0"/>
        <v>200</v>
      </c>
      <c r="K10" s="75">
        <f t="shared" si="1"/>
        <v>0</v>
      </c>
      <c r="L10" s="70"/>
    </row>
    <row r="11" spans="1:12" x14ac:dyDescent="0.25">
      <c r="A11" s="69">
        <v>601008</v>
      </c>
      <c r="B11" s="70" t="s">
        <v>137</v>
      </c>
      <c r="C11" s="71">
        <v>46146</v>
      </c>
      <c r="D11" s="70" t="s">
        <v>141</v>
      </c>
      <c r="E11" s="72">
        <v>300</v>
      </c>
      <c r="F11" s="73" t="s">
        <v>68</v>
      </c>
      <c r="G11" s="74">
        <v>1</v>
      </c>
      <c r="H11" s="73"/>
      <c r="I11" s="74">
        <v>0</v>
      </c>
      <c r="J11" s="75">
        <f t="shared" si="0"/>
        <v>300</v>
      </c>
      <c r="K11" s="75">
        <f t="shared" si="1"/>
        <v>0</v>
      </c>
      <c r="L11" s="70"/>
    </row>
    <row r="12" spans="1:12" x14ac:dyDescent="0.25">
      <c r="A12" s="69">
        <v>601008</v>
      </c>
      <c r="B12" s="70" t="s">
        <v>137</v>
      </c>
      <c r="C12" s="71">
        <v>46161</v>
      </c>
      <c r="D12" s="70" t="s">
        <v>142</v>
      </c>
      <c r="E12" s="72">
        <v>270</v>
      </c>
      <c r="F12" s="73" t="s">
        <v>68</v>
      </c>
      <c r="G12" s="74">
        <v>1</v>
      </c>
      <c r="H12" s="73"/>
      <c r="I12" s="74">
        <v>0</v>
      </c>
      <c r="J12" s="75">
        <f t="shared" si="0"/>
        <v>270</v>
      </c>
      <c r="K12" s="75">
        <f t="shared" si="1"/>
        <v>0</v>
      </c>
      <c r="L12" s="70"/>
    </row>
    <row r="13" spans="1:12" x14ac:dyDescent="0.25">
      <c r="A13" s="69">
        <v>601008</v>
      </c>
      <c r="B13" s="70" t="s">
        <v>137</v>
      </c>
      <c r="C13" s="71">
        <v>46183</v>
      </c>
      <c r="D13" s="70" t="s">
        <v>143</v>
      </c>
      <c r="E13" s="72">
        <v>3044.4</v>
      </c>
      <c r="F13" s="73" t="s">
        <v>68</v>
      </c>
      <c r="G13" s="74">
        <v>1</v>
      </c>
      <c r="H13" s="73"/>
      <c r="I13" s="74">
        <v>0</v>
      </c>
      <c r="J13" s="75">
        <f t="shared" si="0"/>
        <v>3044.4</v>
      </c>
      <c r="K13" s="75">
        <f t="shared" si="1"/>
        <v>0</v>
      </c>
      <c r="L13" s="70"/>
    </row>
    <row r="14" spans="1:12" x14ac:dyDescent="0.25">
      <c r="A14" s="69">
        <v>601008</v>
      </c>
      <c r="B14" s="70" t="s">
        <v>137</v>
      </c>
      <c r="C14" s="71">
        <v>46183</v>
      </c>
      <c r="D14" s="70" t="s">
        <v>144</v>
      </c>
      <c r="E14" s="72">
        <v>387.02600000000001</v>
      </c>
      <c r="F14" s="73" t="s">
        <v>68</v>
      </c>
      <c r="G14" s="74">
        <v>1</v>
      </c>
      <c r="H14" s="73"/>
      <c r="I14" s="74">
        <v>0</v>
      </c>
      <c r="J14" s="75">
        <f t="shared" si="0"/>
        <v>387.02600000000001</v>
      </c>
      <c r="K14" s="75">
        <f t="shared" si="1"/>
        <v>0</v>
      </c>
      <c r="L14" s="70"/>
    </row>
    <row r="15" spans="1:12" x14ac:dyDescent="0.25">
      <c r="A15" s="69">
        <v>601008</v>
      </c>
      <c r="B15" s="70" t="s">
        <v>137</v>
      </c>
      <c r="C15" s="71">
        <v>46183</v>
      </c>
      <c r="D15" s="70" t="s">
        <v>144</v>
      </c>
      <c r="E15" s="72">
        <v>96</v>
      </c>
      <c r="F15" s="73" t="s">
        <v>68</v>
      </c>
      <c r="G15" s="74">
        <v>1</v>
      </c>
      <c r="H15" s="73"/>
      <c r="I15" s="74">
        <v>0</v>
      </c>
      <c r="J15" s="75">
        <f t="shared" si="0"/>
        <v>96</v>
      </c>
      <c r="K15" s="75">
        <f t="shared" si="1"/>
        <v>0</v>
      </c>
      <c r="L15" s="70"/>
    </row>
    <row r="16" spans="1:12" x14ac:dyDescent="0.25">
      <c r="A16" s="69">
        <v>601008</v>
      </c>
      <c r="B16" s="70" t="s">
        <v>137</v>
      </c>
      <c r="C16" s="71">
        <v>46188</v>
      </c>
      <c r="D16" s="70" t="s">
        <v>145</v>
      </c>
      <c r="E16" s="72">
        <v>240</v>
      </c>
      <c r="F16" s="73" t="s">
        <v>68</v>
      </c>
      <c r="G16" s="74">
        <v>1</v>
      </c>
      <c r="H16" s="73"/>
      <c r="I16" s="74">
        <v>0</v>
      </c>
      <c r="J16" s="75">
        <f t="shared" si="0"/>
        <v>240</v>
      </c>
      <c r="K16" s="75">
        <f t="shared" si="1"/>
        <v>0</v>
      </c>
      <c r="L16" s="70"/>
    </row>
    <row r="17" spans="1:12" x14ac:dyDescent="0.25">
      <c r="A17" s="69">
        <v>601008</v>
      </c>
      <c r="B17" s="70" t="s">
        <v>137</v>
      </c>
      <c r="C17" s="71">
        <v>46195</v>
      </c>
      <c r="D17" s="70" t="s">
        <v>146</v>
      </c>
      <c r="E17" s="72">
        <v>83</v>
      </c>
      <c r="F17" s="73" t="s">
        <v>68</v>
      </c>
      <c r="G17" s="74">
        <v>1</v>
      </c>
      <c r="H17" s="73"/>
      <c r="I17" s="74">
        <v>0</v>
      </c>
      <c r="J17" s="75">
        <f t="shared" si="0"/>
        <v>83</v>
      </c>
      <c r="K17" s="75">
        <f t="shared" si="1"/>
        <v>0</v>
      </c>
      <c r="L17" s="70"/>
    </row>
    <row r="18" spans="1:12" x14ac:dyDescent="0.25">
      <c r="A18" s="69">
        <v>601008</v>
      </c>
      <c r="B18" s="70" t="s">
        <v>137</v>
      </c>
      <c r="C18" s="71">
        <v>46261</v>
      </c>
      <c r="D18" s="70" t="s">
        <v>147</v>
      </c>
      <c r="E18" s="72">
        <v>274</v>
      </c>
      <c r="F18" s="73" t="s">
        <v>68</v>
      </c>
      <c r="G18" s="74">
        <v>1</v>
      </c>
      <c r="H18" s="73"/>
      <c r="I18" s="74">
        <v>0</v>
      </c>
      <c r="J18" s="75">
        <f t="shared" si="0"/>
        <v>274</v>
      </c>
      <c r="K18" s="75">
        <f t="shared" si="1"/>
        <v>0</v>
      </c>
      <c r="L18" s="70"/>
    </row>
    <row r="19" spans="1:12" x14ac:dyDescent="0.25">
      <c r="A19" s="69">
        <v>601008</v>
      </c>
      <c r="B19" s="70" t="s">
        <v>137</v>
      </c>
      <c r="C19" s="71">
        <v>46279</v>
      </c>
      <c r="D19" s="70" t="s">
        <v>148</v>
      </c>
      <c r="E19" s="72">
        <v>560</v>
      </c>
      <c r="F19" s="73" t="s">
        <v>68</v>
      </c>
      <c r="G19" s="74">
        <v>1</v>
      </c>
      <c r="H19" s="73"/>
      <c r="I19" s="74">
        <v>0</v>
      </c>
      <c r="J19" s="75">
        <f t="shared" si="0"/>
        <v>560</v>
      </c>
      <c r="K19" s="75">
        <f t="shared" si="1"/>
        <v>0</v>
      </c>
      <c r="L19" s="70"/>
    </row>
    <row r="20" spans="1:12" x14ac:dyDescent="0.25">
      <c r="A20" s="69">
        <v>120001</v>
      </c>
      <c r="B20" s="70" t="s">
        <v>149</v>
      </c>
      <c r="C20" s="71">
        <v>46022</v>
      </c>
      <c r="D20" s="70" t="s">
        <v>150</v>
      </c>
      <c r="E20" s="72">
        <v>439095.63</v>
      </c>
      <c r="F20" s="73" t="s">
        <v>46</v>
      </c>
      <c r="G20" s="74">
        <v>1</v>
      </c>
      <c r="H20" s="73"/>
      <c r="I20" s="74">
        <v>0</v>
      </c>
      <c r="J20" s="75">
        <f t="shared" si="0"/>
        <v>439095.63</v>
      </c>
      <c r="K20" s="75">
        <f t="shared" si="1"/>
        <v>0</v>
      </c>
      <c r="L20" s="70"/>
    </row>
    <row r="21" spans="1:12" x14ac:dyDescent="0.25">
      <c r="A21" s="69">
        <v>120001</v>
      </c>
      <c r="B21" s="70" t="s">
        <v>149</v>
      </c>
      <c r="C21" s="71">
        <v>46041</v>
      </c>
      <c r="D21" s="70" t="s">
        <v>151</v>
      </c>
      <c r="E21" s="72">
        <v>7315</v>
      </c>
      <c r="F21" s="73" t="s">
        <v>46</v>
      </c>
      <c r="G21" s="74">
        <v>1</v>
      </c>
      <c r="H21" s="73"/>
      <c r="I21" s="74">
        <v>0</v>
      </c>
      <c r="J21" s="75">
        <f t="shared" si="0"/>
        <v>7315</v>
      </c>
      <c r="K21" s="75">
        <f t="shared" si="1"/>
        <v>0</v>
      </c>
      <c r="L21" s="70"/>
    </row>
    <row r="22" spans="1:12" x14ac:dyDescent="0.25">
      <c r="A22" s="69">
        <v>120001</v>
      </c>
      <c r="B22" s="70" t="s">
        <v>149</v>
      </c>
      <c r="C22" s="71">
        <v>46089</v>
      </c>
      <c r="D22" s="70" t="s">
        <v>152</v>
      </c>
      <c r="E22" s="72">
        <v>323</v>
      </c>
      <c r="F22" s="73" t="s">
        <v>46</v>
      </c>
      <c r="G22" s="74">
        <v>1</v>
      </c>
      <c r="H22" s="73"/>
      <c r="I22" s="74">
        <v>0</v>
      </c>
      <c r="J22" s="75">
        <f t="shared" si="0"/>
        <v>323</v>
      </c>
      <c r="K22" s="75">
        <f t="shared" si="1"/>
        <v>0</v>
      </c>
      <c r="L22" s="70"/>
    </row>
    <row r="23" spans="1:12" x14ac:dyDescent="0.25">
      <c r="A23" s="69">
        <v>510102</v>
      </c>
      <c r="B23" s="70" t="s">
        <v>153</v>
      </c>
      <c r="C23" s="71">
        <v>46195</v>
      </c>
      <c r="D23" s="70" t="s">
        <v>154</v>
      </c>
      <c r="E23" s="72">
        <v>696</v>
      </c>
      <c r="F23" s="73" t="s">
        <v>46</v>
      </c>
      <c r="G23" s="74">
        <v>1</v>
      </c>
      <c r="H23" s="73"/>
      <c r="I23" s="74">
        <v>0</v>
      </c>
      <c r="J23" s="75">
        <f t="shared" si="0"/>
        <v>696</v>
      </c>
      <c r="K23" s="75">
        <f t="shared" si="1"/>
        <v>0</v>
      </c>
      <c r="L23" s="70"/>
    </row>
    <row r="24" spans="1:12" x14ac:dyDescent="0.25">
      <c r="A24" s="69">
        <v>510102</v>
      </c>
      <c r="B24" s="70" t="s">
        <v>153</v>
      </c>
      <c r="C24" s="71">
        <v>46209</v>
      </c>
      <c r="D24" s="70" t="s">
        <v>155</v>
      </c>
      <c r="E24" s="72">
        <v>6680</v>
      </c>
      <c r="F24" s="73" t="s">
        <v>46</v>
      </c>
      <c r="G24" s="74">
        <v>1</v>
      </c>
      <c r="H24" s="73"/>
      <c r="I24" s="74">
        <v>0</v>
      </c>
      <c r="J24" s="75">
        <f t="shared" si="0"/>
        <v>6680</v>
      </c>
      <c r="K24" s="75">
        <f t="shared" si="1"/>
        <v>0</v>
      </c>
      <c r="L24" s="70"/>
    </row>
    <row r="25" spans="1:12" x14ac:dyDescent="0.25">
      <c r="A25" s="69">
        <v>510102</v>
      </c>
      <c r="B25" s="70" t="s">
        <v>153</v>
      </c>
      <c r="C25" s="71">
        <v>46211</v>
      </c>
      <c r="D25" s="70" t="s">
        <v>156</v>
      </c>
      <c r="E25" s="72">
        <v>4022.0120000000002</v>
      </c>
      <c r="F25" s="73" t="s">
        <v>46</v>
      </c>
      <c r="G25" s="74">
        <v>1</v>
      </c>
      <c r="H25" s="73"/>
      <c r="I25" s="74">
        <v>0</v>
      </c>
      <c r="J25" s="75">
        <f t="shared" si="0"/>
        <v>4022.0120000000002</v>
      </c>
      <c r="K25" s="75">
        <f t="shared" si="1"/>
        <v>0</v>
      </c>
      <c r="L25" s="70" t="s">
        <v>157</v>
      </c>
    </row>
    <row r="26" spans="1:12" x14ac:dyDescent="0.25">
      <c r="A26" s="69">
        <v>510102</v>
      </c>
      <c r="B26" s="70" t="s">
        <v>153</v>
      </c>
      <c r="C26" s="71">
        <v>46244</v>
      </c>
      <c r="D26" s="70" t="s">
        <v>158</v>
      </c>
      <c r="E26" s="72">
        <v>15671.19</v>
      </c>
      <c r="F26" s="73" t="s">
        <v>46</v>
      </c>
      <c r="G26" s="74">
        <v>1</v>
      </c>
      <c r="H26" s="73"/>
      <c r="I26" s="74">
        <v>0</v>
      </c>
      <c r="J26" s="75">
        <f t="shared" si="0"/>
        <v>15671.19</v>
      </c>
      <c r="K26" s="75">
        <f t="shared" si="1"/>
        <v>0</v>
      </c>
      <c r="L26" s="70"/>
    </row>
    <row r="27" spans="1:12" x14ac:dyDescent="0.25">
      <c r="A27" s="69">
        <v>510102</v>
      </c>
      <c r="B27" s="70" t="s">
        <v>153</v>
      </c>
      <c r="C27" s="71">
        <v>46279</v>
      </c>
      <c r="D27" s="70" t="s">
        <v>159</v>
      </c>
      <c r="E27" s="72">
        <v>3422.2570000000001</v>
      </c>
      <c r="F27" s="73" t="s">
        <v>46</v>
      </c>
      <c r="G27" s="74">
        <v>1</v>
      </c>
      <c r="H27" s="73"/>
      <c r="I27" s="74">
        <v>0</v>
      </c>
      <c r="J27" s="75">
        <f t="shared" si="0"/>
        <v>3422.2570000000001</v>
      </c>
      <c r="K27" s="75">
        <f t="shared" si="1"/>
        <v>0</v>
      </c>
      <c r="L27" s="70" t="s">
        <v>160</v>
      </c>
    </row>
    <row r="28" spans="1:12" x14ac:dyDescent="0.25">
      <c r="A28" s="69">
        <v>510102</v>
      </c>
      <c r="B28" s="70" t="s">
        <v>153</v>
      </c>
      <c r="C28" s="71">
        <v>46279</v>
      </c>
      <c r="D28" s="70" t="s">
        <v>161</v>
      </c>
      <c r="E28" s="72">
        <v>14061</v>
      </c>
      <c r="F28" s="73" t="s">
        <v>46</v>
      </c>
      <c r="G28" s="74">
        <v>1</v>
      </c>
      <c r="H28" s="73"/>
      <c r="I28" s="74">
        <v>0</v>
      </c>
      <c r="J28" s="75">
        <f t="shared" si="0"/>
        <v>14061</v>
      </c>
      <c r="K28" s="75">
        <f t="shared" si="1"/>
        <v>0</v>
      </c>
      <c r="L28" s="70"/>
    </row>
    <row r="29" spans="1:12" x14ac:dyDescent="0.25">
      <c r="A29" s="69">
        <v>510102</v>
      </c>
      <c r="B29" s="70" t="s">
        <v>153</v>
      </c>
      <c r="C29" s="71">
        <v>46279</v>
      </c>
      <c r="D29" s="70" t="s">
        <v>162</v>
      </c>
      <c r="E29" s="72">
        <v>9164.44</v>
      </c>
      <c r="F29" s="73" t="s">
        <v>46</v>
      </c>
      <c r="G29" s="74">
        <v>1</v>
      </c>
      <c r="H29" s="73"/>
      <c r="I29" s="74">
        <v>0</v>
      </c>
      <c r="J29" s="75">
        <f t="shared" si="0"/>
        <v>9164.44</v>
      </c>
      <c r="K29" s="75">
        <f t="shared" si="1"/>
        <v>0</v>
      </c>
      <c r="L29" s="70"/>
    </row>
    <row r="30" spans="1:12" x14ac:dyDescent="0.25">
      <c r="A30" s="69">
        <v>601007</v>
      </c>
      <c r="B30" s="70" t="s">
        <v>163</v>
      </c>
      <c r="C30" s="71">
        <v>46226</v>
      </c>
      <c r="D30" s="70" t="s">
        <v>164</v>
      </c>
      <c r="E30" s="72">
        <v>15</v>
      </c>
      <c r="F30" s="73" t="s">
        <v>47</v>
      </c>
      <c r="G30" s="74">
        <v>1</v>
      </c>
      <c r="H30" s="73"/>
      <c r="I30" s="74">
        <v>0</v>
      </c>
      <c r="J30" s="75">
        <f t="shared" si="0"/>
        <v>15</v>
      </c>
      <c r="K30" s="75">
        <f t="shared" si="1"/>
        <v>0</v>
      </c>
      <c r="L30" s="70"/>
    </row>
    <row r="31" spans="1:12" x14ac:dyDescent="0.25">
      <c r="A31" s="69">
        <v>5010107</v>
      </c>
      <c r="B31" s="70" t="s">
        <v>165</v>
      </c>
      <c r="C31" s="71">
        <v>46219</v>
      </c>
      <c r="D31" s="70" t="s">
        <v>166</v>
      </c>
      <c r="E31" s="72">
        <v>700</v>
      </c>
      <c r="F31" s="73" t="s">
        <v>47</v>
      </c>
      <c r="G31" s="74">
        <v>1</v>
      </c>
      <c r="H31" s="73"/>
      <c r="I31" s="74">
        <v>0</v>
      </c>
      <c r="J31" s="75">
        <f t="shared" si="0"/>
        <v>700</v>
      </c>
      <c r="K31" s="75">
        <f t="shared" si="1"/>
        <v>0</v>
      </c>
      <c r="L31" s="70"/>
    </row>
    <row r="32" spans="1:12" x14ac:dyDescent="0.25">
      <c r="A32" s="69">
        <v>5010107</v>
      </c>
      <c r="B32" s="70" t="s">
        <v>165</v>
      </c>
      <c r="C32" s="71">
        <v>46258</v>
      </c>
      <c r="D32" s="70" t="s">
        <v>167</v>
      </c>
      <c r="E32" s="72">
        <v>1295</v>
      </c>
      <c r="F32" s="73" t="s">
        <v>47</v>
      </c>
      <c r="G32" s="74">
        <v>1</v>
      </c>
      <c r="H32" s="73"/>
      <c r="I32" s="74">
        <v>0</v>
      </c>
      <c r="J32" s="75">
        <f t="shared" si="0"/>
        <v>1295</v>
      </c>
      <c r="K32" s="75">
        <f t="shared" si="1"/>
        <v>0</v>
      </c>
      <c r="L32" s="70"/>
    </row>
    <row r="33" spans="1:12" x14ac:dyDescent="0.25">
      <c r="A33" s="69">
        <v>510106</v>
      </c>
      <c r="B33" s="70" t="s">
        <v>168</v>
      </c>
      <c r="C33" s="71">
        <v>46097</v>
      </c>
      <c r="D33" s="70" t="s">
        <v>169</v>
      </c>
      <c r="E33" s="72">
        <v>1462.45</v>
      </c>
      <c r="F33" s="73" t="s">
        <v>68</v>
      </c>
      <c r="G33" s="74">
        <v>1</v>
      </c>
      <c r="H33" s="73"/>
      <c r="I33" s="74">
        <v>0</v>
      </c>
      <c r="J33" s="75">
        <f t="shared" si="0"/>
        <v>1462.45</v>
      </c>
      <c r="K33" s="75">
        <f t="shared" si="1"/>
        <v>0</v>
      </c>
      <c r="L33" s="70"/>
    </row>
    <row r="34" spans="1:12" x14ac:dyDescent="0.25">
      <c r="A34" s="69">
        <v>510106</v>
      </c>
      <c r="B34" s="70" t="s">
        <v>168</v>
      </c>
      <c r="C34" s="71">
        <v>46240</v>
      </c>
      <c r="D34" s="70" t="s">
        <v>170</v>
      </c>
      <c r="E34" s="72">
        <v>137.66</v>
      </c>
      <c r="F34" s="73" t="s">
        <v>68</v>
      </c>
      <c r="G34" s="74">
        <v>1</v>
      </c>
      <c r="H34" s="73"/>
      <c r="I34" s="74">
        <v>0</v>
      </c>
      <c r="J34" s="75">
        <f t="shared" si="0"/>
        <v>137.66</v>
      </c>
      <c r="K34" s="75">
        <f t="shared" si="1"/>
        <v>0</v>
      </c>
      <c r="L34" s="70"/>
    </row>
    <row r="35" spans="1:12" x14ac:dyDescent="0.25">
      <c r="A35" s="69">
        <v>601004</v>
      </c>
      <c r="B35" s="70" t="s">
        <v>171</v>
      </c>
      <c r="C35" s="71">
        <v>46254</v>
      </c>
      <c r="D35" s="70" t="s">
        <v>172</v>
      </c>
      <c r="E35" s="72">
        <v>1000</v>
      </c>
      <c r="F35" s="73" t="s">
        <v>47</v>
      </c>
      <c r="G35" s="74">
        <v>1</v>
      </c>
      <c r="H35" s="73"/>
      <c r="I35" s="74">
        <v>0</v>
      </c>
      <c r="J35" s="75">
        <f t="shared" si="0"/>
        <v>1000</v>
      </c>
      <c r="K35" s="75">
        <f t="shared" si="1"/>
        <v>0</v>
      </c>
      <c r="L35" s="70"/>
    </row>
    <row r="36" spans="1:12" x14ac:dyDescent="0.25">
      <c r="A36" s="69">
        <v>5010106</v>
      </c>
      <c r="B36" s="70" t="s">
        <v>173</v>
      </c>
      <c r="C36" s="71">
        <v>46096</v>
      </c>
      <c r="D36" s="70" t="s">
        <v>174</v>
      </c>
      <c r="E36" s="72">
        <v>6716.15</v>
      </c>
      <c r="F36" s="73" t="s">
        <v>320</v>
      </c>
      <c r="G36" s="74">
        <v>1</v>
      </c>
      <c r="H36" s="73"/>
      <c r="I36" s="74">
        <v>0</v>
      </c>
      <c r="J36" s="75">
        <f t="shared" si="0"/>
        <v>6716.15</v>
      </c>
      <c r="K36" s="75">
        <f t="shared" si="1"/>
        <v>0</v>
      </c>
      <c r="L36" s="70" t="s">
        <v>321</v>
      </c>
    </row>
    <row r="37" spans="1:12" x14ac:dyDescent="0.25">
      <c r="A37" s="69">
        <v>5010106</v>
      </c>
      <c r="B37" s="70" t="s">
        <v>173</v>
      </c>
      <c r="C37" s="71">
        <v>46146</v>
      </c>
      <c r="D37" s="70" t="s">
        <v>175</v>
      </c>
      <c r="E37" s="72">
        <v>19.48</v>
      </c>
      <c r="F37" s="73" t="s">
        <v>320</v>
      </c>
      <c r="G37" s="74">
        <v>1</v>
      </c>
      <c r="H37" s="73"/>
      <c r="I37" s="74">
        <v>0</v>
      </c>
      <c r="J37" s="75">
        <f t="shared" si="0"/>
        <v>19.48</v>
      </c>
      <c r="K37" s="75">
        <f t="shared" si="1"/>
        <v>0</v>
      </c>
      <c r="L37" s="70" t="s">
        <v>321</v>
      </c>
    </row>
    <row r="38" spans="1:12" x14ac:dyDescent="0.25">
      <c r="A38" s="69">
        <v>5010106</v>
      </c>
      <c r="B38" s="70" t="s">
        <v>173</v>
      </c>
      <c r="C38" s="71">
        <v>46160</v>
      </c>
      <c r="D38" s="70" t="s">
        <v>176</v>
      </c>
      <c r="E38" s="72">
        <v>26.29</v>
      </c>
      <c r="F38" s="73" t="s">
        <v>320</v>
      </c>
      <c r="G38" s="74">
        <v>1</v>
      </c>
      <c r="H38" s="73"/>
      <c r="I38" s="74">
        <v>0</v>
      </c>
      <c r="J38" s="75">
        <f t="shared" si="0"/>
        <v>26.29</v>
      </c>
      <c r="K38" s="75">
        <f t="shared" si="1"/>
        <v>0</v>
      </c>
      <c r="L38" s="70" t="s">
        <v>321</v>
      </c>
    </row>
    <row r="39" spans="1:12" x14ac:dyDescent="0.25">
      <c r="A39" s="69">
        <v>5010106</v>
      </c>
      <c r="B39" s="70" t="s">
        <v>173</v>
      </c>
      <c r="C39" s="71">
        <v>46160</v>
      </c>
      <c r="D39" s="70" t="s">
        <v>177</v>
      </c>
      <c r="E39" s="72">
        <v>17.22</v>
      </c>
      <c r="F39" s="73" t="s">
        <v>320</v>
      </c>
      <c r="G39" s="74">
        <v>1</v>
      </c>
      <c r="H39" s="73"/>
      <c r="I39" s="74">
        <v>0</v>
      </c>
      <c r="J39" s="75">
        <f t="shared" si="0"/>
        <v>17.22</v>
      </c>
      <c r="K39" s="75">
        <f t="shared" si="1"/>
        <v>0</v>
      </c>
      <c r="L39" s="70" t="s">
        <v>321</v>
      </c>
    </row>
    <row r="40" spans="1:12" x14ac:dyDescent="0.25">
      <c r="A40" s="69">
        <v>5010106</v>
      </c>
      <c r="B40" s="70" t="s">
        <v>173</v>
      </c>
      <c r="C40" s="71">
        <v>46174</v>
      </c>
      <c r="D40" s="70" t="s">
        <v>178</v>
      </c>
      <c r="E40" s="72">
        <v>25</v>
      </c>
      <c r="F40" s="73" t="s">
        <v>46</v>
      </c>
      <c r="G40" s="74">
        <v>1</v>
      </c>
      <c r="H40" s="73"/>
      <c r="I40" s="74">
        <v>0</v>
      </c>
      <c r="J40" s="75">
        <f t="shared" ref="J40:J71" si="2">E40*G40</f>
        <v>25</v>
      </c>
      <c r="K40" s="75">
        <f t="shared" ref="K40:K71" si="3">E40*I40</f>
        <v>0</v>
      </c>
      <c r="L40" s="70"/>
    </row>
    <row r="41" spans="1:12" x14ac:dyDescent="0.25">
      <c r="A41" s="69">
        <v>5010106</v>
      </c>
      <c r="B41" s="70" t="s">
        <v>173</v>
      </c>
      <c r="C41" s="71">
        <v>46183</v>
      </c>
      <c r="D41" s="70" t="s">
        <v>179</v>
      </c>
      <c r="E41" s="72">
        <v>693.84</v>
      </c>
      <c r="F41" s="73" t="s">
        <v>322</v>
      </c>
      <c r="G41" s="74">
        <v>1</v>
      </c>
      <c r="H41" s="73"/>
      <c r="I41" s="74">
        <v>0</v>
      </c>
      <c r="J41" s="75">
        <f t="shared" si="2"/>
        <v>693.84</v>
      </c>
      <c r="K41" s="75">
        <f t="shared" si="3"/>
        <v>0</v>
      </c>
      <c r="L41" s="70" t="s">
        <v>323</v>
      </c>
    </row>
    <row r="42" spans="1:12" x14ac:dyDescent="0.25">
      <c r="A42" s="69">
        <v>5010106</v>
      </c>
      <c r="B42" s="70" t="s">
        <v>173</v>
      </c>
      <c r="C42" s="71">
        <v>46183</v>
      </c>
      <c r="D42" s="70" t="s">
        <v>180</v>
      </c>
      <c r="E42" s="72">
        <v>969.25199999999995</v>
      </c>
      <c r="F42" s="73" t="s">
        <v>47</v>
      </c>
      <c r="G42" s="74">
        <v>1</v>
      </c>
      <c r="H42" s="73"/>
      <c r="I42" s="74">
        <v>0</v>
      </c>
      <c r="J42" s="75">
        <f t="shared" si="2"/>
        <v>969.25199999999995</v>
      </c>
      <c r="K42" s="75">
        <f t="shared" si="3"/>
        <v>0</v>
      </c>
      <c r="L42" s="70"/>
    </row>
    <row r="43" spans="1:12" x14ac:dyDescent="0.25">
      <c r="A43" s="69">
        <v>5010106</v>
      </c>
      <c r="B43" s="70" t="s">
        <v>173</v>
      </c>
      <c r="C43" s="71">
        <v>46195</v>
      </c>
      <c r="D43" s="70" t="s">
        <v>181</v>
      </c>
      <c r="E43" s="72">
        <v>200</v>
      </c>
      <c r="F43" s="73" t="s">
        <v>326</v>
      </c>
      <c r="G43" s="74">
        <v>1</v>
      </c>
      <c r="H43" s="73"/>
      <c r="I43" s="74">
        <v>0</v>
      </c>
      <c r="J43" s="75">
        <f t="shared" si="2"/>
        <v>200</v>
      </c>
      <c r="K43" s="75">
        <f t="shared" si="3"/>
        <v>0</v>
      </c>
      <c r="L43" s="70" t="s">
        <v>327</v>
      </c>
    </row>
    <row r="44" spans="1:12" x14ac:dyDescent="0.25">
      <c r="A44" s="69">
        <v>5010106</v>
      </c>
      <c r="B44" s="70" t="s">
        <v>173</v>
      </c>
      <c r="C44" s="71">
        <v>46195</v>
      </c>
      <c r="D44" s="70" t="s">
        <v>182</v>
      </c>
      <c r="E44" s="72">
        <v>240.99</v>
      </c>
      <c r="F44" s="73" t="s">
        <v>68</v>
      </c>
      <c r="G44" s="74">
        <v>1</v>
      </c>
      <c r="H44" s="73"/>
      <c r="I44" s="74">
        <v>0</v>
      </c>
      <c r="J44" s="75">
        <f t="shared" si="2"/>
        <v>240.99</v>
      </c>
      <c r="K44" s="75">
        <f t="shared" si="3"/>
        <v>0</v>
      </c>
      <c r="L44" s="70"/>
    </row>
    <row r="45" spans="1:12" x14ac:dyDescent="0.25">
      <c r="A45" s="69">
        <v>5010106</v>
      </c>
      <c r="B45" s="70" t="s">
        <v>173</v>
      </c>
      <c r="C45" s="71">
        <v>46195</v>
      </c>
      <c r="D45" s="70" t="s">
        <v>183</v>
      </c>
      <c r="E45" s="72">
        <v>364.93</v>
      </c>
      <c r="F45" s="73" t="s">
        <v>326</v>
      </c>
      <c r="G45" s="74">
        <v>1</v>
      </c>
      <c r="H45" s="73"/>
      <c r="I45" s="74">
        <v>0</v>
      </c>
      <c r="J45" s="75">
        <f t="shared" si="2"/>
        <v>364.93</v>
      </c>
      <c r="K45" s="75">
        <f t="shared" si="3"/>
        <v>0</v>
      </c>
      <c r="L45" s="70" t="s">
        <v>327</v>
      </c>
    </row>
    <row r="46" spans="1:12" x14ac:dyDescent="0.25">
      <c r="A46" s="69">
        <v>5010106</v>
      </c>
      <c r="B46" s="70" t="s">
        <v>173</v>
      </c>
      <c r="C46" s="71">
        <v>46195</v>
      </c>
      <c r="D46" s="70" t="s">
        <v>184</v>
      </c>
      <c r="E46" s="72">
        <v>794.26</v>
      </c>
      <c r="F46" s="73" t="s">
        <v>326</v>
      </c>
      <c r="G46" s="74">
        <v>1</v>
      </c>
      <c r="H46" s="73"/>
      <c r="I46" s="74">
        <v>0</v>
      </c>
      <c r="J46" s="75">
        <f t="shared" si="2"/>
        <v>794.26</v>
      </c>
      <c r="K46" s="75">
        <f t="shared" si="3"/>
        <v>0</v>
      </c>
      <c r="L46" s="70" t="s">
        <v>327</v>
      </c>
    </row>
    <row r="47" spans="1:12" x14ac:dyDescent="0.25">
      <c r="A47" s="69">
        <v>5010106</v>
      </c>
      <c r="B47" s="70" t="s">
        <v>173</v>
      </c>
      <c r="C47" s="71">
        <v>46196</v>
      </c>
      <c r="D47" s="70" t="s">
        <v>185</v>
      </c>
      <c r="E47" s="72">
        <v>562.5</v>
      </c>
      <c r="F47" s="73" t="s">
        <v>326</v>
      </c>
      <c r="G47" s="74">
        <v>1</v>
      </c>
      <c r="H47" s="73"/>
      <c r="I47" s="74">
        <v>0</v>
      </c>
      <c r="J47" s="75">
        <f t="shared" si="2"/>
        <v>562.5</v>
      </c>
      <c r="K47" s="75">
        <f t="shared" si="3"/>
        <v>0</v>
      </c>
      <c r="L47" s="70" t="s">
        <v>327</v>
      </c>
    </row>
    <row r="48" spans="1:12" x14ac:dyDescent="0.25">
      <c r="A48" s="69">
        <v>5010106</v>
      </c>
      <c r="B48" s="70" t="s">
        <v>173</v>
      </c>
      <c r="C48" s="71">
        <v>46196</v>
      </c>
      <c r="D48" s="70" t="s">
        <v>186</v>
      </c>
      <c r="E48" s="72">
        <v>175</v>
      </c>
      <c r="F48" s="73" t="s">
        <v>326</v>
      </c>
      <c r="G48" s="74">
        <v>1</v>
      </c>
      <c r="H48" s="73"/>
      <c r="I48" s="74">
        <v>0</v>
      </c>
      <c r="J48" s="75">
        <f t="shared" si="2"/>
        <v>175</v>
      </c>
      <c r="K48" s="75">
        <f t="shared" si="3"/>
        <v>0</v>
      </c>
      <c r="L48" s="70" t="s">
        <v>327</v>
      </c>
    </row>
    <row r="49" spans="1:12" x14ac:dyDescent="0.25">
      <c r="A49" s="69">
        <v>5010106</v>
      </c>
      <c r="B49" s="70" t="s">
        <v>173</v>
      </c>
      <c r="C49" s="71">
        <v>46209</v>
      </c>
      <c r="D49" s="70" t="s">
        <v>187</v>
      </c>
      <c r="E49" s="72">
        <v>15</v>
      </c>
      <c r="F49" s="73" t="s">
        <v>328</v>
      </c>
      <c r="G49" s="74">
        <v>1</v>
      </c>
      <c r="H49" s="73"/>
      <c r="I49" s="74">
        <v>0</v>
      </c>
      <c r="J49" s="75">
        <f t="shared" si="2"/>
        <v>15</v>
      </c>
      <c r="K49" s="75">
        <f t="shared" si="3"/>
        <v>0</v>
      </c>
      <c r="L49" s="70" t="s">
        <v>329</v>
      </c>
    </row>
    <row r="50" spans="1:12" x14ac:dyDescent="0.25">
      <c r="A50" s="69">
        <v>5010106</v>
      </c>
      <c r="B50" s="70" t="s">
        <v>173</v>
      </c>
      <c r="C50" s="71">
        <v>46215</v>
      </c>
      <c r="D50" s="70" t="s">
        <v>188</v>
      </c>
      <c r="E50" s="72">
        <v>4021.44</v>
      </c>
      <c r="F50" s="73" t="s">
        <v>324</v>
      </c>
      <c r="G50" s="74">
        <v>1</v>
      </c>
      <c r="H50" s="73"/>
      <c r="I50" s="74">
        <v>0</v>
      </c>
      <c r="J50" s="75">
        <f t="shared" si="2"/>
        <v>4021.44</v>
      </c>
      <c r="K50" s="75">
        <f t="shared" si="3"/>
        <v>0</v>
      </c>
      <c r="L50" s="70" t="s">
        <v>325</v>
      </c>
    </row>
    <row r="51" spans="1:12" x14ac:dyDescent="0.25">
      <c r="A51" s="69">
        <v>5010106</v>
      </c>
      <c r="B51" s="70" t="s">
        <v>173</v>
      </c>
      <c r="C51" s="71">
        <v>46215</v>
      </c>
      <c r="D51" s="70" t="s">
        <v>189</v>
      </c>
      <c r="E51" s="72">
        <v>637.20000000000005</v>
      </c>
      <c r="F51" s="73" t="s">
        <v>324</v>
      </c>
      <c r="G51" s="74">
        <v>1</v>
      </c>
      <c r="H51" s="73"/>
      <c r="I51" s="74">
        <v>0</v>
      </c>
      <c r="J51" s="75">
        <f t="shared" si="2"/>
        <v>637.20000000000005</v>
      </c>
      <c r="K51" s="75">
        <f t="shared" si="3"/>
        <v>0</v>
      </c>
      <c r="L51" s="70" t="s">
        <v>325</v>
      </c>
    </row>
    <row r="52" spans="1:12" x14ac:dyDescent="0.25">
      <c r="A52" s="69">
        <v>5010106</v>
      </c>
      <c r="B52" s="70" t="s">
        <v>173</v>
      </c>
      <c r="C52" s="71">
        <v>46215</v>
      </c>
      <c r="D52" s="70" t="s">
        <v>190</v>
      </c>
      <c r="E52" s="72">
        <v>70.8</v>
      </c>
      <c r="F52" s="73" t="s">
        <v>324</v>
      </c>
      <c r="G52" s="74">
        <v>1</v>
      </c>
      <c r="H52" s="73"/>
      <c r="I52" s="74">
        <v>0</v>
      </c>
      <c r="J52" s="75">
        <f t="shared" si="2"/>
        <v>70.8</v>
      </c>
      <c r="K52" s="75">
        <f t="shared" si="3"/>
        <v>0</v>
      </c>
      <c r="L52" s="70" t="s">
        <v>325</v>
      </c>
    </row>
    <row r="53" spans="1:12" x14ac:dyDescent="0.25">
      <c r="A53" s="69">
        <v>5010106</v>
      </c>
      <c r="B53" s="70" t="s">
        <v>173</v>
      </c>
      <c r="C53" s="71">
        <v>46215</v>
      </c>
      <c r="D53" s="70" t="s">
        <v>191</v>
      </c>
      <c r="E53" s="72">
        <v>594.72</v>
      </c>
      <c r="F53" s="73" t="s">
        <v>324</v>
      </c>
      <c r="G53" s="74">
        <v>1</v>
      </c>
      <c r="H53" s="73"/>
      <c r="I53" s="74">
        <v>0</v>
      </c>
      <c r="J53" s="75">
        <f t="shared" si="2"/>
        <v>594.72</v>
      </c>
      <c r="K53" s="75">
        <f t="shared" si="3"/>
        <v>0</v>
      </c>
      <c r="L53" s="70" t="s">
        <v>325</v>
      </c>
    </row>
    <row r="54" spans="1:12" x14ac:dyDescent="0.25">
      <c r="A54" s="69">
        <v>5010106</v>
      </c>
      <c r="B54" s="70" t="s">
        <v>173</v>
      </c>
      <c r="C54" s="71">
        <v>46215</v>
      </c>
      <c r="D54" s="70" t="s">
        <v>192</v>
      </c>
      <c r="E54" s="72">
        <v>854.81100000000004</v>
      </c>
      <c r="F54" s="73" t="s">
        <v>324</v>
      </c>
      <c r="G54" s="74">
        <v>1</v>
      </c>
      <c r="H54" s="73"/>
      <c r="I54" s="74">
        <v>0</v>
      </c>
      <c r="J54" s="75">
        <f t="shared" si="2"/>
        <v>854.81100000000004</v>
      </c>
      <c r="K54" s="75">
        <f t="shared" si="3"/>
        <v>0</v>
      </c>
      <c r="L54" s="70" t="s">
        <v>325</v>
      </c>
    </row>
    <row r="55" spans="1:12" x14ac:dyDescent="0.25">
      <c r="A55" s="69">
        <v>5010106</v>
      </c>
      <c r="B55" s="70" t="s">
        <v>173</v>
      </c>
      <c r="C55" s="71">
        <v>46216</v>
      </c>
      <c r="D55" s="70" t="s">
        <v>193</v>
      </c>
      <c r="E55" s="72">
        <v>249.98</v>
      </c>
      <c r="F55" s="73" t="s">
        <v>46</v>
      </c>
      <c r="G55" s="74">
        <v>1</v>
      </c>
      <c r="H55" s="73"/>
      <c r="I55" s="74">
        <v>0</v>
      </c>
      <c r="J55" s="75">
        <f t="shared" si="2"/>
        <v>249.98</v>
      </c>
      <c r="K55" s="75">
        <f t="shared" si="3"/>
        <v>0</v>
      </c>
      <c r="L55" s="70"/>
    </row>
    <row r="56" spans="1:12" x14ac:dyDescent="0.25">
      <c r="A56" s="69">
        <v>5010106</v>
      </c>
      <c r="B56" s="70" t="s">
        <v>173</v>
      </c>
      <c r="C56" s="71">
        <v>46226</v>
      </c>
      <c r="D56" s="70" t="s">
        <v>194</v>
      </c>
      <c r="E56" s="72">
        <v>24.67</v>
      </c>
      <c r="F56" s="73" t="s">
        <v>326</v>
      </c>
      <c r="G56" s="74">
        <v>1</v>
      </c>
      <c r="H56" s="73"/>
      <c r="I56" s="74">
        <v>0</v>
      </c>
      <c r="J56" s="75">
        <f t="shared" si="2"/>
        <v>24.67</v>
      </c>
      <c r="K56" s="75">
        <f t="shared" si="3"/>
        <v>0</v>
      </c>
      <c r="L56" s="70" t="s">
        <v>327</v>
      </c>
    </row>
    <row r="57" spans="1:12" x14ac:dyDescent="0.25">
      <c r="A57" s="69">
        <v>5010106</v>
      </c>
      <c r="B57" s="70" t="s">
        <v>173</v>
      </c>
      <c r="C57" s="71">
        <v>46230</v>
      </c>
      <c r="D57" s="70" t="s">
        <v>195</v>
      </c>
      <c r="E57" s="72">
        <v>210.85</v>
      </c>
      <c r="F57" s="73" t="s">
        <v>47</v>
      </c>
      <c r="G57" s="74">
        <v>1</v>
      </c>
      <c r="H57" s="73"/>
      <c r="I57" s="74">
        <v>0</v>
      </c>
      <c r="J57" s="75">
        <f t="shared" si="2"/>
        <v>210.85</v>
      </c>
      <c r="K57" s="75">
        <f t="shared" si="3"/>
        <v>0</v>
      </c>
      <c r="L57" s="70"/>
    </row>
    <row r="58" spans="1:12" x14ac:dyDescent="0.25">
      <c r="A58" s="69">
        <v>5010106</v>
      </c>
      <c r="B58" s="70" t="s">
        <v>173</v>
      </c>
      <c r="C58" s="71">
        <v>46251</v>
      </c>
      <c r="D58" s="70" t="s">
        <v>196</v>
      </c>
      <c r="E58" s="72">
        <v>73</v>
      </c>
      <c r="F58" s="73" t="s">
        <v>326</v>
      </c>
      <c r="G58" s="74">
        <v>1</v>
      </c>
      <c r="H58" s="73"/>
      <c r="I58" s="74">
        <v>0</v>
      </c>
      <c r="J58" s="75">
        <f t="shared" si="2"/>
        <v>73</v>
      </c>
      <c r="K58" s="75">
        <f t="shared" si="3"/>
        <v>0</v>
      </c>
      <c r="L58" s="70" t="s">
        <v>327</v>
      </c>
    </row>
    <row r="59" spans="1:12" x14ac:dyDescent="0.25">
      <c r="A59" s="69">
        <v>5010106</v>
      </c>
      <c r="B59" s="70" t="s">
        <v>173</v>
      </c>
      <c r="C59" s="71">
        <v>46254</v>
      </c>
      <c r="D59" s="70" t="s">
        <v>197</v>
      </c>
      <c r="E59" s="72">
        <v>155</v>
      </c>
      <c r="F59" s="73" t="s">
        <v>322</v>
      </c>
      <c r="G59" s="74">
        <v>1</v>
      </c>
      <c r="H59" s="73"/>
      <c r="I59" s="74">
        <v>0</v>
      </c>
      <c r="J59" s="75">
        <f t="shared" si="2"/>
        <v>155</v>
      </c>
      <c r="K59" s="75">
        <f t="shared" si="3"/>
        <v>0</v>
      </c>
      <c r="L59" s="70" t="s">
        <v>323</v>
      </c>
    </row>
    <row r="60" spans="1:12" x14ac:dyDescent="0.25">
      <c r="A60" s="69">
        <v>5010106</v>
      </c>
      <c r="B60" s="70" t="s">
        <v>173</v>
      </c>
      <c r="C60" s="71">
        <v>46275</v>
      </c>
      <c r="D60" s="70" t="s">
        <v>198</v>
      </c>
      <c r="E60" s="72">
        <v>10700</v>
      </c>
      <c r="F60" s="73" t="s">
        <v>322</v>
      </c>
      <c r="G60" s="74">
        <v>1</v>
      </c>
      <c r="H60" s="73"/>
      <c r="I60" s="74">
        <v>0</v>
      </c>
      <c r="J60" s="75">
        <f t="shared" si="2"/>
        <v>10700</v>
      </c>
      <c r="K60" s="75">
        <f t="shared" si="3"/>
        <v>0</v>
      </c>
      <c r="L60" s="70" t="s">
        <v>323</v>
      </c>
    </row>
    <row r="61" spans="1:12" x14ac:dyDescent="0.25">
      <c r="A61" s="69">
        <v>5010106</v>
      </c>
      <c r="B61" s="70" t="s">
        <v>173</v>
      </c>
      <c r="C61" s="71">
        <v>46279</v>
      </c>
      <c r="D61" s="70" t="s">
        <v>199</v>
      </c>
      <c r="E61" s="72">
        <v>300</v>
      </c>
      <c r="F61" s="73" t="s">
        <v>48</v>
      </c>
      <c r="G61" s="74">
        <v>1</v>
      </c>
      <c r="H61" s="73"/>
      <c r="I61" s="74">
        <v>0</v>
      </c>
      <c r="J61" s="75">
        <f t="shared" si="2"/>
        <v>300</v>
      </c>
      <c r="K61" s="75">
        <f t="shared" si="3"/>
        <v>0</v>
      </c>
      <c r="L61" s="70"/>
    </row>
    <row r="62" spans="1:12" x14ac:dyDescent="0.25">
      <c r="A62" s="69">
        <v>5010106</v>
      </c>
      <c r="B62" s="70" t="s">
        <v>173</v>
      </c>
      <c r="C62" s="71">
        <v>46279</v>
      </c>
      <c r="D62" s="70" t="s">
        <v>200</v>
      </c>
      <c r="E62" s="72">
        <v>4</v>
      </c>
      <c r="F62" s="73" t="s">
        <v>322</v>
      </c>
      <c r="G62" s="74">
        <v>1</v>
      </c>
      <c r="H62" s="73"/>
      <c r="I62" s="74">
        <v>0</v>
      </c>
      <c r="J62" s="75">
        <f t="shared" si="2"/>
        <v>4</v>
      </c>
      <c r="K62" s="75">
        <f t="shared" si="3"/>
        <v>0</v>
      </c>
      <c r="L62" s="70" t="s">
        <v>323</v>
      </c>
    </row>
    <row r="63" spans="1:12" x14ac:dyDescent="0.25">
      <c r="A63" s="69">
        <v>5010106</v>
      </c>
      <c r="B63" s="70" t="s">
        <v>173</v>
      </c>
      <c r="C63" s="71">
        <v>46279</v>
      </c>
      <c r="D63" s="70" t="s">
        <v>201</v>
      </c>
      <c r="E63" s="72">
        <v>78</v>
      </c>
      <c r="F63" s="73" t="s">
        <v>322</v>
      </c>
      <c r="G63" s="74">
        <v>1</v>
      </c>
      <c r="H63" s="73"/>
      <c r="I63" s="74">
        <v>0</v>
      </c>
      <c r="J63" s="75">
        <f t="shared" si="2"/>
        <v>78</v>
      </c>
      <c r="K63" s="75">
        <f t="shared" si="3"/>
        <v>0</v>
      </c>
      <c r="L63" s="70" t="s">
        <v>323</v>
      </c>
    </row>
    <row r="64" spans="1:12" x14ac:dyDescent="0.25">
      <c r="A64" s="69">
        <v>510101</v>
      </c>
      <c r="B64" s="70" t="s">
        <v>202</v>
      </c>
      <c r="C64" s="71">
        <v>46076</v>
      </c>
      <c r="D64" s="70" t="s">
        <v>203</v>
      </c>
      <c r="E64" s="72">
        <v>7479.36</v>
      </c>
      <c r="F64" s="73" t="s">
        <v>47</v>
      </c>
      <c r="G64" s="74">
        <v>0.5</v>
      </c>
      <c r="H64" s="73" t="s">
        <v>48</v>
      </c>
      <c r="I64" s="74">
        <v>0.5</v>
      </c>
      <c r="J64" s="75">
        <f t="shared" si="2"/>
        <v>3739.68</v>
      </c>
      <c r="K64" s="75">
        <f t="shared" si="3"/>
        <v>3739.68</v>
      </c>
      <c r="L64" s="70" t="s">
        <v>204</v>
      </c>
    </row>
    <row r="65" spans="1:12" x14ac:dyDescent="0.25">
      <c r="A65" s="69">
        <v>510101</v>
      </c>
      <c r="B65" s="70" t="s">
        <v>202</v>
      </c>
      <c r="C65" s="71">
        <v>46076</v>
      </c>
      <c r="D65" s="70" t="s">
        <v>205</v>
      </c>
      <c r="E65" s="72">
        <v>7631.54</v>
      </c>
      <c r="F65" s="73" t="s">
        <v>47</v>
      </c>
      <c r="G65" s="74">
        <v>0.5</v>
      </c>
      <c r="H65" s="73" t="s">
        <v>48</v>
      </c>
      <c r="I65" s="74">
        <v>0.5</v>
      </c>
      <c r="J65" s="75">
        <f t="shared" si="2"/>
        <v>3815.77</v>
      </c>
      <c r="K65" s="75">
        <f t="shared" si="3"/>
        <v>3815.77</v>
      </c>
      <c r="L65" s="70" t="s">
        <v>204</v>
      </c>
    </row>
    <row r="66" spans="1:12" x14ac:dyDescent="0.25">
      <c r="A66" s="69">
        <v>510101</v>
      </c>
      <c r="B66" s="70" t="s">
        <v>202</v>
      </c>
      <c r="C66" s="71">
        <v>46097</v>
      </c>
      <c r="D66" s="70" t="s">
        <v>206</v>
      </c>
      <c r="E66" s="72">
        <v>6037</v>
      </c>
      <c r="F66" s="73" t="s">
        <v>47</v>
      </c>
      <c r="G66" s="74">
        <v>0.5</v>
      </c>
      <c r="H66" s="73" t="s">
        <v>48</v>
      </c>
      <c r="I66" s="74">
        <v>0.5</v>
      </c>
      <c r="J66" s="75">
        <f t="shared" si="2"/>
        <v>3018.5</v>
      </c>
      <c r="K66" s="75">
        <f t="shared" si="3"/>
        <v>3018.5</v>
      </c>
      <c r="L66" s="70" t="s">
        <v>204</v>
      </c>
    </row>
    <row r="67" spans="1:12" x14ac:dyDescent="0.25">
      <c r="A67" s="69">
        <v>510101</v>
      </c>
      <c r="B67" s="70" t="s">
        <v>202</v>
      </c>
      <c r="C67" s="71">
        <v>46121</v>
      </c>
      <c r="D67" s="70" t="s">
        <v>207</v>
      </c>
      <c r="E67" s="72">
        <v>495.6</v>
      </c>
      <c r="F67" s="73" t="s">
        <v>47</v>
      </c>
      <c r="G67" s="74">
        <v>0.5</v>
      </c>
      <c r="H67" s="73" t="s">
        <v>48</v>
      </c>
      <c r="I67" s="74">
        <v>0.5</v>
      </c>
      <c r="J67" s="75">
        <f t="shared" si="2"/>
        <v>247.8</v>
      </c>
      <c r="K67" s="75">
        <f t="shared" si="3"/>
        <v>247.8</v>
      </c>
      <c r="L67" s="70" t="s">
        <v>204</v>
      </c>
    </row>
    <row r="68" spans="1:12" x14ac:dyDescent="0.25">
      <c r="A68" s="69">
        <v>510101</v>
      </c>
      <c r="B68" s="70" t="s">
        <v>202</v>
      </c>
      <c r="C68" s="71">
        <v>46121</v>
      </c>
      <c r="D68" s="70" t="s">
        <v>208</v>
      </c>
      <c r="E68" s="72">
        <v>495.6</v>
      </c>
      <c r="F68" s="73" t="s">
        <v>47</v>
      </c>
      <c r="G68" s="74">
        <v>0.5</v>
      </c>
      <c r="H68" s="73" t="s">
        <v>48</v>
      </c>
      <c r="I68" s="74">
        <v>0.5</v>
      </c>
      <c r="J68" s="75">
        <f t="shared" si="2"/>
        <v>247.8</v>
      </c>
      <c r="K68" s="75">
        <f t="shared" si="3"/>
        <v>247.8</v>
      </c>
      <c r="L68" s="70" t="s">
        <v>204</v>
      </c>
    </row>
    <row r="69" spans="1:12" x14ac:dyDescent="0.25">
      <c r="A69" s="69">
        <v>510101</v>
      </c>
      <c r="B69" s="70" t="s">
        <v>202</v>
      </c>
      <c r="C69" s="71">
        <v>46121</v>
      </c>
      <c r="D69" s="70" t="s">
        <v>209</v>
      </c>
      <c r="E69" s="72">
        <v>495.6</v>
      </c>
      <c r="F69" s="73" t="s">
        <v>47</v>
      </c>
      <c r="G69" s="74">
        <v>0.5</v>
      </c>
      <c r="H69" s="73" t="s">
        <v>48</v>
      </c>
      <c r="I69" s="74">
        <v>0.5</v>
      </c>
      <c r="J69" s="75">
        <f t="shared" si="2"/>
        <v>247.8</v>
      </c>
      <c r="K69" s="75">
        <f t="shared" si="3"/>
        <v>247.8</v>
      </c>
      <c r="L69" s="70" t="s">
        <v>204</v>
      </c>
    </row>
    <row r="70" spans="1:12" x14ac:dyDescent="0.25">
      <c r="A70" s="69">
        <v>510101</v>
      </c>
      <c r="B70" s="70" t="s">
        <v>202</v>
      </c>
      <c r="C70" s="71">
        <v>46121</v>
      </c>
      <c r="D70" s="70" t="s">
        <v>210</v>
      </c>
      <c r="E70" s="72">
        <v>495.6</v>
      </c>
      <c r="F70" s="73" t="s">
        <v>47</v>
      </c>
      <c r="G70" s="74">
        <v>0.5</v>
      </c>
      <c r="H70" s="73" t="s">
        <v>48</v>
      </c>
      <c r="I70" s="74">
        <v>0.5</v>
      </c>
      <c r="J70" s="75">
        <f t="shared" si="2"/>
        <v>247.8</v>
      </c>
      <c r="K70" s="75">
        <f t="shared" si="3"/>
        <v>247.8</v>
      </c>
      <c r="L70" s="70" t="s">
        <v>204</v>
      </c>
    </row>
    <row r="71" spans="1:12" x14ac:dyDescent="0.25">
      <c r="A71" s="69">
        <v>510101</v>
      </c>
      <c r="B71" s="70" t="s">
        <v>202</v>
      </c>
      <c r="C71" s="71">
        <v>46121</v>
      </c>
      <c r="D71" s="70" t="s">
        <v>211</v>
      </c>
      <c r="E71" s="72">
        <v>495.6</v>
      </c>
      <c r="F71" s="73" t="s">
        <v>47</v>
      </c>
      <c r="G71" s="74">
        <v>0.5</v>
      </c>
      <c r="H71" s="73" t="s">
        <v>48</v>
      </c>
      <c r="I71" s="74">
        <v>0.5</v>
      </c>
      <c r="J71" s="75">
        <f t="shared" si="2"/>
        <v>247.8</v>
      </c>
      <c r="K71" s="75">
        <f t="shared" si="3"/>
        <v>247.8</v>
      </c>
      <c r="L71" s="70" t="s">
        <v>204</v>
      </c>
    </row>
    <row r="72" spans="1:12" x14ac:dyDescent="0.25">
      <c r="A72" s="69">
        <v>510101</v>
      </c>
      <c r="B72" s="70" t="s">
        <v>202</v>
      </c>
      <c r="C72" s="71">
        <v>46121</v>
      </c>
      <c r="D72" s="70" t="s">
        <v>212</v>
      </c>
      <c r="E72" s="72">
        <v>495.6</v>
      </c>
      <c r="F72" s="73" t="s">
        <v>47</v>
      </c>
      <c r="G72" s="74">
        <v>0.5</v>
      </c>
      <c r="H72" s="73" t="s">
        <v>48</v>
      </c>
      <c r="I72" s="74">
        <v>0.5</v>
      </c>
      <c r="J72" s="75">
        <f t="shared" ref="J72:J103" si="4">E72*G72</f>
        <v>247.8</v>
      </c>
      <c r="K72" s="75">
        <f t="shared" ref="K72:K103" si="5">E72*I72</f>
        <v>247.8</v>
      </c>
      <c r="L72" s="70" t="s">
        <v>204</v>
      </c>
    </row>
    <row r="73" spans="1:12" x14ac:dyDescent="0.25">
      <c r="A73" s="69">
        <v>510101</v>
      </c>
      <c r="B73" s="70" t="s">
        <v>202</v>
      </c>
      <c r="C73" s="71">
        <v>46121</v>
      </c>
      <c r="D73" s="70" t="s">
        <v>213</v>
      </c>
      <c r="E73" s="72">
        <v>495.6</v>
      </c>
      <c r="F73" s="73" t="s">
        <v>47</v>
      </c>
      <c r="G73" s="74">
        <v>0.5</v>
      </c>
      <c r="H73" s="73" t="s">
        <v>48</v>
      </c>
      <c r="I73" s="74">
        <v>0.5</v>
      </c>
      <c r="J73" s="75">
        <f t="shared" si="4"/>
        <v>247.8</v>
      </c>
      <c r="K73" s="75">
        <f t="shared" si="5"/>
        <v>247.8</v>
      </c>
      <c r="L73" s="70" t="s">
        <v>204</v>
      </c>
    </row>
    <row r="74" spans="1:12" x14ac:dyDescent="0.25">
      <c r="A74" s="69">
        <v>510101</v>
      </c>
      <c r="B74" s="70" t="s">
        <v>202</v>
      </c>
      <c r="C74" s="71">
        <v>46121</v>
      </c>
      <c r="D74" s="70" t="s">
        <v>214</v>
      </c>
      <c r="E74" s="72">
        <v>495.6</v>
      </c>
      <c r="F74" s="73" t="s">
        <v>47</v>
      </c>
      <c r="G74" s="74">
        <v>0.5</v>
      </c>
      <c r="H74" s="73" t="s">
        <v>48</v>
      </c>
      <c r="I74" s="74">
        <v>0.5</v>
      </c>
      <c r="J74" s="75">
        <f t="shared" si="4"/>
        <v>247.8</v>
      </c>
      <c r="K74" s="75">
        <f t="shared" si="5"/>
        <v>247.8</v>
      </c>
      <c r="L74" s="70" t="s">
        <v>204</v>
      </c>
    </row>
    <row r="75" spans="1:12" x14ac:dyDescent="0.25">
      <c r="A75" s="69">
        <v>510101</v>
      </c>
      <c r="B75" s="70" t="s">
        <v>202</v>
      </c>
      <c r="C75" s="71">
        <v>46121</v>
      </c>
      <c r="D75" s="70" t="s">
        <v>215</v>
      </c>
      <c r="E75" s="72">
        <v>495.6</v>
      </c>
      <c r="F75" s="73" t="s">
        <v>47</v>
      </c>
      <c r="G75" s="74">
        <v>0.5</v>
      </c>
      <c r="H75" s="73" t="s">
        <v>48</v>
      </c>
      <c r="I75" s="74">
        <v>0.5</v>
      </c>
      <c r="J75" s="75">
        <f t="shared" si="4"/>
        <v>247.8</v>
      </c>
      <c r="K75" s="75">
        <f t="shared" si="5"/>
        <v>247.8</v>
      </c>
      <c r="L75" s="70" t="s">
        <v>204</v>
      </c>
    </row>
    <row r="76" spans="1:12" x14ac:dyDescent="0.25">
      <c r="A76" s="69">
        <v>510101</v>
      </c>
      <c r="B76" s="70" t="s">
        <v>202</v>
      </c>
      <c r="C76" s="71">
        <v>46121</v>
      </c>
      <c r="D76" s="70" t="s">
        <v>216</v>
      </c>
      <c r="E76" s="72">
        <v>495.6</v>
      </c>
      <c r="F76" s="73" t="s">
        <v>47</v>
      </c>
      <c r="G76" s="74">
        <v>0.5</v>
      </c>
      <c r="H76" s="73" t="s">
        <v>48</v>
      </c>
      <c r="I76" s="74">
        <v>0.5</v>
      </c>
      <c r="J76" s="75">
        <f t="shared" si="4"/>
        <v>247.8</v>
      </c>
      <c r="K76" s="75">
        <f t="shared" si="5"/>
        <v>247.8</v>
      </c>
      <c r="L76" s="70" t="s">
        <v>204</v>
      </c>
    </row>
    <row r="77" spans="1:12" x14ac:dyDescent="0.25">
      <c r="A77" s="69">
        <v>510101</v>
      </c>
      <c r="B77" s="70" t="s">
        <v>202</v>
      </c>
      <c r="C77" s="71">
        <v>46121</v>
      </c>
      <c r="D77" s="70" t="s">
        <v>217</v>
      </c>
      <c r="E77" s="72">
        <v>424.8</v>
      </c>
      <c r="F77" s="73" t="s">
        <v>47</v>
      </c>
      <c r="G77" s="74">
        <v>0.5</v>
      </c>
      <c r="H77" s="73" t="s">
        <v>48</v>
      </c>
      <c r="I77" s="74">
        <v>0.5</v>
      </c>
      <c r="J77" s="75">
        <f t="shared" si="4"/>
        <v>212.4</v>
      </c>
      <c r="K77" s="75">
        <f t="shared" si="5"/>
        <v>212.4</v>
      </c>
      <c r="L77" s="70" t="s">
        <v>204</v>
      </c>
    </row>
    <row r="78" spans="1:12" x14ac:dyDescent="0.25">
      <c r="A78" s="69">
        <v>510101</v>
      </c>
      <c r="B78" s="70" t="s">
        <v>202</v>
      </c>
      <c r="C78" s="71">
        <v>46121</v>
      </c>
      <c r="D78" s="70" t="s">
        <v>218</v>
      </c>
      <c r="E78" s="72">
        <v>1100</v>
      </c>
      <c r="F78" s="73" t="s">
        <v>47</v>
      </c>
      <c r="G78" s="74">
        <v>0.5</v>
      </c>
      <c r="H78" s="73" t="s">
        <v>48</v>
      </c>
      <c r="I78" s="74">
        <v>0.5</v>
      </c>
      <c r="J78" s="75">
        <f t="shared" si="4"/>
        <v>550</v>
      </c>
      <c r="K78" s="75">
        <f t="shared" si="5"/>
        <v>550</v>
      </c>
      <c r="L78" s="70" t="s">
        <v>204</v>
      </c>
    </row>
    <row r="79" spans="1:12" x14ac:dyDescent="0.25">
      <c r="A79" s="69">
        <v>510101</v>
      </c>
      <c r="B79" s="70" t="s">
        <v>202</v>
      </c>
      <c r="C79" s="71">
        <v>46121</v>
      </c>
      <c r="D79" s="70" t="s">
        <v>219</v>
      </c>
      <c r="E79" s="72">
        <v>1100</v>
      </c>
      <c r="F79" s="73" t="s">
        <v>47</v>
      </c>
      <c r="G79" s="74">
        <v>0.5</v>
      </c>
      <c r="H79" s="73" t="s">
        <v>48</v>
      </c>
      <c r="I79" s="74">
        <v>0.5</v>
      </c>
      <c r="J79" s="75">
        <f t="shared" si="4"/>
        <v>550</v>
      </c>
      <c r="K79" s="75">
        <f t="shared" si="5"/>
        <v>550</v>
      </c>
      <c r="L79" s="70" t="s">
        <v>204</v>
      </c>
    </row>
    <row r="80" spans="1:12" x14ac:dyDescent="0.25">
      <c r="A80" s="69">
        <v>510101</v>
      </c>
      <c r="B80" s="70" t="s">
        <v>202</v>
      </c>
      <c r="C80" s="71">
        <v>46160</v>
      </c>
      <c r="D80" s="70" t="s">
        <v>220</v>
      </c>
      <c r="E80" s="72">
        <v>424.8</v>
      </c>
      <c r="F80" s="73" t="s">
        <v>47</v>
      </c>
      <c r="G80" s="74">
        <v>0.5</v>
      </c>
      <c r="H80" s="73" t="s">
        <v>48</v>
      </c>
      <c r="I80" s="74">
        <v>0.5</v>
      </c>
      <c r="J80" s="75">
        <f t="shared" si="4"/>
        <v>212.4</v>
      </c>
      <c r="K80" s="75">
        <f t="shared" si="5"/>
        <v>212.4</v>
      </c>
      <c r="L80" s="70" t="s">
        <v>204</v>
      </c>
    </row>
    <row r="81" spans="1:12" x14ac:dyDescent="0.25">
      <c r="A81" s="69">
        <v>510101</v>
      </c>
      <c r="B81" s="70" t="s">
        <v>202</v>
      </c>
      <c r="C81" s="71">
        <v>46160</v>
      </c>
      <c r="D81" s="70" t="s">
        <v>221</v>
      </c>
      <c r="E81" s="72">
        <v>1100</v>
      </c>
      <c r="F81" s="73" t="s">
        <v>47</v>
      </c>
      <c r="G81" s="74">
        <v>0.5</v>
      </c>
      <c r="H81" s="73" t="s">
        <v>48</v>
      </c>
      <c r="I81" s="74">
        <v>0.5</v>
      </c>
      <c r="J81" s="75">
        <f t="shared" si="4"/>
        <v>550</v>
      </c>
      <c r="K81" s="75">
        <f t="shared" si="5"/>
        <v>550</v>
      </c>
      <c r="L81" s="70" t="s">
        <v>204</v>
      </c>
    </row>
    <row r="82" spans="1:12" x14ac:dyDescent="0.25">
      <c r="A82" s="69">
        <v>510101</v>
      </c>
      <c r="B82" s="70" t="s">
        <v>202</v>
      </c>
      <c r="C82" s="71">
        <v>46160</v>
      </c>
      <c r="D82" s="70" t="s">
        <v>222</v>
      </c>
      <c r="E82" s="72">
        <v>1100</v>
      </c>
      <c r="F82" s="73" t="s">
        <v>47</v>
      </c>
      <c r="G82" s="74">
        <v>0.5</v>
      </c>
      <c r="H82" s="73" t="s">
        <v>48</v>
      </c>
      <c r="I82" s="74">
        <v>0.5</v>
      </c>
      <c r="J82" s="75">
        <f t="shared" si="4"/>
        <v>550</v>
      </c>
      <c r="K82" s="75">
        <f t="shared" si="5"/>
        <v>550</v>
      </c>
      <c r="L82" s="70" t="s">
        <v>204</v>
      </c>
    </row>
    <row r="83" spans="1:12" x14ac:dyDescent="0.25">
      <c r="A83" s="69">
        <v>510101</v>
      </c>
      <c r="B83" s="70" t="s">
        <v>202</v>
      </c>
      <c r="C83" s="71">
        <v>46160</v>
      </c>
      <c r="D83" s="70" t="s">
        <v>223</v>
      </c>
      <c r="E83" s="72">
        <v>495.6</v>
      </c>
      <c r="F83" s="73" t="s">
        <v>47</v>
      </c>
      <c r="G83" s="74">
        <v>0.5</v>
      </c>
      <c r="H83" s="73" t="s">
        <v>48</v>
      </c>
      <c r="I83" s="74">
        <v>0.5</v>
      </c>
      <c r="J83" s="75">
        <f t="shared" si="4"/>
        <v>247.8</v>
      </c>
      <c r="K83" s="75">
        <f t="shared" si="5"/>
        <v>247.8</v>
      </c>
      <c r="L83" s="70" t="s">
        <v>204</v>
      </c>
    </row>
    <row r="84" spans="1:12" x14ac:dyDescent="0.25">
      <c r="A84" s="69">
        <v>510101</v>
      </c>
      <c r="B84" s="70" t="s">
        <v>202</v>
      </c>
      <c r="C84" s="71">
        <v>46160</v>
      </c>
      <c r="D84" s="70" t="s">
        <v>224</v>
      </c>
      <c r="E84" s="72">
        <v>495.6</v>
      </c>
      <c r="F84" s="73" t="s">
        <v>47</v>
      </c>
      <c r="G84" s="74">
        <v>0.5</v>
      </c>
      <c r="H84" s="73" t="s">
        <v>48</v>
      </c>
      <c r="I84" s="74">
        <v>0.5</v>
      </c>
      <c r="J84" s="75">
        <f t="shared" si="4"/>
        <v>247.8</v>
      </c>
      <c r="K84" s="75">
        <f t="shared" si="5"/>
        <v>247.8</v>
      </c>
      <c r="L84" s="70" t="s">
        <v>204</v>
      </c>
    </row>
    <row r="85" spans="1:12" x14ac:dyDescent="0.25">
      <c r="A85" s="69">
        <v>510101</v>
      </c>
      <c r="B85" s="70" t="s">
        <v>202</v>
      </c>
      <c r="C85" s="71">
        <v>46160</v>
      </c>
      <c r="D85" s="70" t="s">
        <v>225</v>
      </c>
      <c r="E85" s="72">
        <v>495.6</v>
      </c>
      <c r="F85" s="73" t="s">
        <v>47</v>
      </c>
      <c r="G85" s="74">
        <v>0.5</v>
      </c>
      <c r="H85" s="73" t="s">
        <v>48</v>
      </c>
      <c r="I85" s="74">
        <v>0.5</v>
      </c>
      <c r="J85" s="75">
        <f t="shared" si="4"/>
        <v>247.8</v>
      </c>
      <c r="K85" s="75">
        <f t="shared" si="5"/>
        <v>247.8</v>
      </c>
      <c r="L85" s="70" t="s">
        <v>204</v>
      </c>
    </row>
    <row r="86" spans="1:12" x14ac:dyDescent="0.25">
      <c r="A86" s="69">
        <v>510101</v>
      </c>
      <c r="B86" s="70" t="s">
        <v>202</v>
      </c>
      <c r="C86" s="71">
        <v>46160</v>
      </c>
      <c r="D86" s="70" t="s">
        <v>226</v>
      </c>
      <c r="E86" s="72">
        <v>495.6</v>
      </c>
      <c r="F86" s="73" t="s">
        <v>47</v>
      </c>
      <c r="G86" s="74">
        <v>0.5</v>
      </c>
      <c r="H86" s="73" t="s">
        <v>48</v>
      </c>
      <c r="I86" s="74">
        <v>0.5</v>
      </c>
      <c r="J86" s="75">
        <f t="shared" si="4"/>
        <v>247.8</v>
      </c>
      <c r="K86" s="75">
        <f t="shared" si="5"/>
        <v>247.8</v>
      </c>
      <c r="L86" s="70" t="s">
        <v>204</v>
      </c>
    </row>
    <row r="87" spans="1:12" x14ac:dyDescent="0.25">
      <c r="A87" s="69">
        <v>510101</v>
      </c>
      <c r="B87" s="70" t="s">
        <v>202</v>
      </c>
      <c r="C87" s="71">
        <v>46160</v>
      </c>
      <c r="D87" s="70" t="s">
        <v>227</v>
      </c>
      <c r="E87" s="72">
        <v>495.6</v>
      </c>
      <c r="F87" s="73" t="s">
        <v>47</v>
      </c>
      <c r="G87" s="74">
        <v>0.5</v>
      </c>
      <c r="H87" s="73" t="s">
        <v>48</v>
      </c>
      <c r="I87" s="74">
        <v>0.5</v>
      </c>
      <c r="J87" s="75">
        <f t="shared" si="4"/>
        <v>247.8</v>
      </c>
      <c r="K87" s="75">
        <f t="shared" si="5"/>
        <v>247.8</v>
      </c>
      <c r="L87" s="70" t="s">
        <v>204</v>
      </c>
    </row>
    <row r="88" spans="1:12" x14ac:dyDescent="0.25">
      <c r="A88" s="69">
        <v>510101</v>
      </c>
      <c r="B88" s="70" t="s">
        <v>202</v>
      </c>
      <c r="C88" s="71">
        <v>46160</v>
      </c>
      <c r="D88" s="70" t="s">
        <v>228</v>
      </c>
      <c r="E88" s="72">
        <v>495.6</v>
      </c>
      <c r="F88" s="73" t="s">
        <v>47</v>
      </c>
      <c r="G88" s="74">
        <v>0.5</v>
      </c>
      <c r="H88" s="73" t="s">
        <v>48</v>
      </c>
      <c r="I88" s="74">
        <v>0.5</v>
      </c>
      <c r="J88" s="75">
        <f t="shared" si="4"/>
        <v>247.8</v>
      </c>
      <c r="K88" s="75">
        <f t="shared" si="5"/>
        <v>247.8</v>
      </c>
      <c r="L88" s="70" t="s">
        <v>204</v>
      </c>
    </row>
    <row r="89" spans="1:12" x14ac:dyDescent="0.25">
      <c r="A89" s="69">
        <v>510101</v>
      </c>
      <c r="B89" s="70" t="s">
        <v>202</v>
      </c>
      <c r="C89" s="71">
        <v>46160</v>
      </c>
      <c r="D89" s="70" t="s">
        <v>229</v>
      </c>
      <c r="E89" s="72">
        <v>495.6</v>
      </c>
      <c r="F89" s="73" t="s">
        <v>47</v>
      </c>
      <c r="G89" s="74">
        <v>0.5</v>
      </c>
      <c r="H89" s="73" t="s">
        <v>48</v>
      </c>
      <c r="I89" s="74">
        <v>0.5</v>
      </c>
      <c r="J89" s="75">
        <f t="shared" si="4"/>
        <v>247.8</v>
      </c>
      <c r="K89" s="75">
        <f t="shared" si="5"/>
        <v>247.8</v>
      </c>
      <c r="L89" s="70" t="s">
        <v>204</v>
      </c>
    </row>
    <row r="90" spans="1:12" x14ac:dyDescent="0.25">
      <c r="A90" s="69">
        <v>510101</v>
      </c>
      <c r="B90" s="70" t="s">
        <v>202</v>
      </c>
      <c r="C90" s="71">
        <v>46160</v>
      </c>
      <c r="D90" s="70" t="s">
        <v>230</v>
      </c>
      <c r="E90" s="72">
        <v>495.6</v>
      </c>
      <c r="F90" s="73" t="s">
        <v>47</v>
      </c>
      <c r="G90" s="74">
        <v>0.5</v>
      </c>
      <c r="H90" s="73" t="s">
        <v>48</v>
      </c>
      <c r="I90" s="74">
        <v>0.5</v>
      </c>
      <c r="J90" s="75">
        <f t="shared" si="4"/>
        <v>247.8</v>
      </c>
      <c r="K90" s="75">
        <f t="shared" si="5"/>
        <v>247.8</v>
      </c>
      <c r="L90" s="70" t="s">
        <v>204</v>
      </c>
    </row>
    <row r="91" spans="1:12" x14ac:dyDescent="0.25">
      <c r="A91" s="69">
        <v>510101</v>
      </c>
      <c r="B91" s="70" t="s">
        <v>202</v>
      </c>
      <c r="C91" s="71">
        <v>46160</v>
      </c>
      <c r="D91" s="70" t="s">
        <v>231</v>
      </c>
      <c r="E91" s="72">
        <v>495.6</v>
      </c>
      <c r="F91" s="73" t="s">
        <v>47</v>
      </c>
      <c r="G91" s="74">
        <v>0.5</v>
      </c>
      <c r="H91" s="73" t="s">
        <v>48</v>
      </c>
      <c r="I91" s="74">
        <v>0.5</v>
      </c>
      <c r="J91" s="75">
        <f t="shared" si="4"/>
        <v>247.8</v>
      </c>
      <c r="K91" s="75">
        <f t="shared" si="5"/>
        <v>247.8</v>
      </c>
      <c r="L91" s="70" t="s">
        <v>204</v>
      </c>
    </row>
    <row r="92" spans="1:12" x14ac:dyDescent="0.25">
      <c r="A92" s="69">
        <v>510101</v>
      </c>
      <c r="B92" s="70" t="s">
        <v>202</v>
      </c>
      <c r="C92" s="71">
        <v>46160</v>
      </c>
      <c r="D92" s="70" t="s">
        <v>232</v>
      </c>
      <c r="E92" s="72">
        <v>495.6</v>
      </c>
      <c r="F92" s="73" t="s">
        <v>47</v>
      </c>
      <c r="G92" s="74">
        <v>0.5</v>
      </c>
      <c r="H92" s="73" t="s">
        <v>48</v>
      </c>
      <c r="I92" s="74">
        <v>0.5</v>
      </c>
      <c r="J92" s="75">
        <f t="shared" si="4"/>
        <v>247.8</v>
      </c>
      <c r="K92" s="75">
        <f t="shared" si="5"/>
        <v>247.8</v>
      </c>
      <c r="L92" s="70" t="s">
        <v>204</v>
      </c>
    </row>
    <row r="93" spans="1:12" x14ac:dyDescent="0.25">
      <c r="A93" s="69">
        <v>510101</v>
      </c>
      <c r="B93" s="70" t="s">
        <v>202</v>
      </c>
      <c r="C93" s="71">
        <v>46196</v>
      </c>
      <c r="D93" s="70" t="s">
        <v>233</v>
      </c>
      <c r="E93" s="72">
        <v>424.8</v>
      </c>
      <c r="F93" s="73" t="s">
        <v>47</v>
      </c>
      <c r="G93" s="74">
        <v>0.5</v>
      </c>
      <c r="H93" s="73" t="s">
        <v>48</v>
      </c>
      <c r="I93" s="74">
        <v>0.5</v>
      </c>
      <c r="J93" s="75">
        <f t="shared" si="4"/>
        <v>212.4</v>
      </c>
      <c r="K93" s="75">
        <f t="shared" si="5"/>
        <v>212.4</v>
      </c>
      <c r="L93" s="70" t="s">
        <v>204</v>
      </c>
    </row>
    <row r="94" spans="1:12" x14ac:dyDescent="0.25">
      <c r="A94" s="69">
        <v>510101</v>
      </c>
      <c r="B94" s="70" t="s">
        <v>202</v>
      </c>
      <c r="C94" s="71">
        <v>46196</v>
      </c>
      <c r="D94" s="70" t="s">
        <v>234</v>
      </c>
      <c r="E94" s="72">
        <v>1100</v>
      </c>
      <c r="F94" s="73" t="s">
        <v>47</v>
      </c>
      <c r="G94" s="74">
        <v>0.5</v>
      </c>
      <c r="H94" s="73" t="s">
        <v>48</v>
      </c>
      <c r="I94" s="74">
        <v>0.5</v>
      </c>
      <c r="J94" s="75">
        <f t="shared" si="4"/>
        <v>550</v>
      </c>
      <c r="K94" s="75">
        <f t="shared" si="5"/>
        <v>550</v>
      </c>
      <c r="L94" s="70" t="s">
        <v>204</v>
      </c>
    </row>
    <row r="95" spans="1:12" x14ac:dyDescent="0.25">
      <c r="A95" s="69">
        <v>510101</v>
      </c>
      <c r="B95" s="70" t="s">
        <v>202</v>
      </c>
      <c r="C95" s="71">
        <v>46196</v>
      </c>
      <c r="D95" s="70" t="s">
        <v>235</v>
      </c>
      <c r="E95" s="72">
        <v>1100</v>
      </c>
      <c r="F95" s="73" t="s">
        <v>47</v>
      </c>
      <c r="G95" s="74">
        <v>0.5</v>
      </c>
      <c r="H95" s="73" t="s">
        <v>48</v>
      </c>
      <c r="I95" s="74">
        <v>0.5</v>
      </c>
      <c r="J95" s="75">
        <f t="shared" si="4"/>
        <v>550</v>
      </c>
      <c r="K95" s="75">
        <f t="shared" si="5"/>
        <v>550</v>
      </c>
      <c r="L95" s="70" t="s">
        <v>204</v>
      </c>
    </row>
    <row r="96" spans="1:12" x14ac:dyDescent="0.25">
      <c r="A96" s="69">
        <v>510101</v>
      </c>
      <c r="B96" s="70" t="s">
        <v>202</v>
      </c>
      <c r="C96" s="71">
        <v>46196</v>
      </c>
      <c r="D96" s="70" t="s">
        <v>236</v>
      </c>
      <c r="E96" s="72">
        <v>538.78800000000001</v>
      </c>
      <c r="F96" s="73" t="s">
        <v>47</v>
      </c>
      <c r="G96" s="74">
        <v>0.5</v>
      </c>
      <c r="H96" s="73" t="s">
        <v>48</v>
      </c>
      <c r="I96" s="74">
        <v>0.5</v>
      </c>
      <c r="J96" s="75">
        <f t="shared" si="4"/>
        <v>269.39400000000001</v>
      </c>
      <c r="K96" s="75">
        <f t="shared" si="5"/>
        <v>269.39400000000001</v>
      </c>
      <c r="L96" s="70" t="s">
        <v>204</v>
      </c>
    </row>
    <row r="97" spans="1:12" x14ac:dyDescent="0.25">
      <c r="A97" s="69">
        <v>510101</v>
      </c>
      <c r="B97" s="70" t="s">
        <v>202</v>
      </c>
      <c r="C97" s="71">
        <v>46196</v>
      </c>
      <c r="D97" s="70" t="s">
        <v>237</v>
      </c>
      <c r="E97" s="72">
        <v>538.78800000000001</v>
      </c>
      <c r="F97" s="73" t="s">
        <v>47</v>
      </c>
      <c r="G97" s="74">
        <v>0.5</v>
      </c>
      <c r="H97" s="73" t="s">
        <v>48</v>
      </c>
      <c r="I97" s="74">
        <v>0.5</v>
      </c>
      <c r="J97" s="75">
        <f t="shared" si="4"/>
        <v>269.39400000000001</v>
      </c>
      <c r="K97" s="75">
        <f t="shared" si="5"/>
        <v>269.39400000000001</v>
      </c>
      <c r="L97" s="70" t="s">
        <v>204</v>
      </c>
    </row>
    <row r="98" spans="1:12" x14ac:dyDescent="0.25">
      <c r="A98" s="69">
        <v>510101</v>
      </c>
      <c r="B98" s="70" t="s">
        <v>202</v>
      </c>
      <c r="C98" s="71">
        <v>46196</v>
      </c>
      <c r="D98" s="70" t="s">
        <v>238</v>
      </c>
      <c r="E98" s="72">
        <v>530.29200000000003</v>
      </c>
      <c r="F98" s="73" t="s">
        <v>47</v>
      </c>
      <c r="G98" s="74">
        <v>0.5</v>
      </c>
      <c r="H98" s="73" t="s">
        <v>48</v>
      </c>
      <c r="I98" s="74">
        <v>0.5</v>
      </c>
      <c r="J98" s="75">
        <f t="shared" si="4"/>
        <v>265.14600000000002</v>
      </c>
      <c r="K98" s="75">
        <f t="shared" si="5"/>
        <v>265.14600000000002</v>
      </c>
      <c r="L98" s="70" t="s">
        <v>204</v>
      </c>
    </row>
    <row r="99" spans="1:12" x14ac:dyDescent="0.25">
      <c r="A99" s="69">
        <v>510101</v>
      </c>
      <c r="B99" s="70" t="s">
        <v>202</v>
      </c>
      <c r="C99" s="71">
        <v>46196</v>
      </c>
      <c r="D99" s="70" t="s">
        <v>239</v>
      </c>
      <c r="E99" s="72">
        <v>515.42399999999998</v>
      </c>
      <c r="F99" s="73" t="s">
        <v>47</v>
      </c>
      <c r="G99" s="74">
        <v>0.5</v>
      </c>
      <c r="H99" s="73" t="s">
        <v>48</v>
      </c>
      <c r="I99" s="74">
        <v>0.5</v>
      </c>
      <c r="J99" s="75">
        <f t="shared" si="4"/>
        <v>257.71199999999999</v>
      </c>
      <c r="K99" s="75">
        <f t="shared" si="5"/>
        <v>257.71199999999999</v>
      </c>
      <c r="L99" s="70" t="s">
        <v>204</v>
      </c>
    </row>
    <row r="100" spans="1:12" x14ac:dyDescent="0.25">
      <c r="A100" s="69">
        <v>510101</v>
      </c>
      <c r="B100" s="70" t="s">
        <v>202</v>
      </c>
      <c r="C100" s="71">
        <v>46196</v>
      </c>
      <c r="D100" s="70" t="s">
        <v>240</v>
      </c>
      <c r="E100" s="72">
        <v>515.42399999999998</v>
      </c>
      <c r="F100" s="73" t="s">
        <v>47</v>
      </c>
      <c r="G100" s="74">
        <v>0.5</v>
      </c>
      <c r="H100" s="73" t="s">
        <v>48</v>
      </c>
      <c r="I100" s="74">
        <v>0.5</v>
      </c>
      <c r="J100" s="75">
        <f t="shared" si="4"/>
        <v>257.71199999999999</v>
      </c>
      <c r="K100" s="75">
        <f t="shared" si="5"/>
        <v>257.71199999999999</v>
      </c>
      <c r="L100" s="70" t="s">
        <v>204</v>
      </c>
    </row>
    <row r="101" spans="1:12" x14ac:dyDescent="0.25">
      <c r="A101" s="69">
        <v>510101</v>
      </c>
      <c r="B101" s="70" t="s">
        <v>202</v>
      </c>
      <c r="C101" s="71">
        <v>46196</v>
      </c>
      <c r="D101" s="70" t="s">
        <v>241</v>
      </c>
      <c r="E101" s="72">
        <v>495.6</v>
      </c>
      <c r="F101" s="73" t="s">
        <v>47</v>
      </c>
      <c r="G101" s="74">
        <v>0.5</v>
      </c>
      <c r="H101" s="73" t="s">
        <v>48</v>
      </c>
      <c r="I101" s="74">
        <v>0.5</v>
      </c>
      <c r="J101" s="75">
        <f t="shared" si="4"/>
        <v>247.8</v>
      </c>
      <c r="K101" s="75">
        <f t="shared" si="5"/>
        <v>247.8</v>
      </c>
      <c r="L101" s="70" t="s">
        <v>204</v>
      </c>
    </row>
    <row r="102" spans="1:12" x14ac:dyDescent="0.25">
      <c r="A102" s="69">
        <v>510101</v>
      </c>
      <c r="B102" s="70" t="s">
        <v>202</v>
      </c>
      <c r="C102" s="71">
        <v>46196</v>
      </c>
      <c r="D102" s="70" t="s">
        <v>242</v>
      </c>
      <c r="E102" s="72">
        <v>537.726</v>
      </c>
      <c r="F102" s="73" t="s">
        <v>47</v>
      </c>
      <c r="G102" s="74">
        <v>0.5</v>
      </c>
      <c r="H102" s="73" t="s">
        <v>48</v>
      </c>
      <c r="I102" s="74">
        <v>0.5</v>
      </c>
      <c r="J102" s="75">
        <f t="shared" si="4"/>
        <v>268.863</v>
      </c>
      <c r="K102" s="75">
        <f t="shared" si="5"/>
        <v>268.863</v>
      </c>
      <c r="L102" s="70" t="s">
        <v>204</v>
      </c>
    </row>
    <row r="103" spans="1:12" x14ac:dyDescent="0.25">
      <c r="A103" s="69">
        <v>510101</v>
      </c>
      <c r="B103" s="70" t="s">
        <v>202</v>
      </c>
      <c r="C103" s="71">
        <v>46196</v>
      </c>
      <c r="D103" s="70" t="s">
        <v>243</v>
      </c>
      <c r="E103" s="72">
        <v>495.6</v>
      </c>
      <c r="F103" s="73" t="s">
        <v>47</v>
      </c>
      <c r="G103" s="74">
        <v>0.5</v>
      </c>
      <c r="H103" s="73" t="s">
        <v>48</v>
      </c>
      <c r="I103" s="74">
        <v>0.5</v>
      </c>
      <c r="J103" s="75">
        <f t="shared" si="4"/>
        <v>247.8</v>
      </c>
      <c r="K103" s="75">
        <f t="shared" si="5"/>
        <v>247.8</v>
      </c>
      <c r="L103" s="70" t="s">
        <v>204</v>
      </c>
    </row>
    <row r="104" spans="1:12" x14ac:dyDescent="0.25">
      <c r="A104" s="69">
        <v>510101</v>
      </c>
      <c r="B104" s="70" t="s">
        <v>202</v>
      </c>
      <c r="C104" s="71">
        <v>46196</v>
      </c>
      <c r="D104" s="70" t="s">
        <v>244</v>
      </c>
      <c r="E104" s="72">
        <v>495.6</v>
      </c>
      <c r="F104" s="73" t="s">
        <v>47</v>
      </c>
      <c r="G104" s="74">
        <v>0.5</v>
      </c>
      <c r="H104" s="73" t="s">
        <v>48</v>
      </c>
      <c r="I104" s="74">
        <v>0.5</v>
      </c>
      <c r="J104" s="75">
        <f t="shared" ref="J104:J135" si="6">E104*G104</f>
        <v>247.8</v>
      </c>
      <c r="K104" s="75">
        <f t="shared" ref="K104:K135" si="7">E104*I104</f>
        <v>247.8</v>
      </c>
      <c r="L104" s="70" t="s">
        <v>204</v>
      </c>
    </row>
    <row r="105" spans="1:12" x14ac:dyDescent="0.25">
      <c r="A105" s="69">
        <v>510101</v>
      </c>
      <c r="B105" s="70" t="s">
        <v>202</v>
      </c>
      <c r="C105" s="71">
        <v>46196</v>
      </c>
      <c r="D105" s="70" t="s">
        <v>245</v>
      </c>
      <c r="E105" s="72">
        <v>537.726</v>
      </c>
      <c r="F105" s="73" t="s">
        <v>47</v>
      </c>
      <c r="G105" s="74">
        <v>0.5</v>
      </c>
      <c r="H105" s="73" t="s">
        <v>48</v>
      </c>
      <c r="I105" s="74">
        <v>0.5</v>
      </c>
      <c r="J105" s="75">
        <f t="shared" si="6"/>
        <v>268.863</v>
      </c>
      <c r="K105" s="75">
        <f t="shared" si="7"/>
        <v>268.863</v>
      </c>
      <c r="L105" s="70" t="s">
        <v>204</v>
      </c>
    </row>
    <row r="106" spans="1:12" x14ac:dyDescent="0.25">
      <c r="A106" s="69">
        <v>510101</v>
      </c>
      <c r="B106" s="70" t="s">
        <v>202</v>
      </c>
      <c r="C106" s="71">
        <v>46223</v>
      </c>
      <c r="D106" s="70" t="s">
        <v>246</v>
      </c>
      <c r="E106" s="72">
        <v>424.8</v>
      </c>
      <c r="F106" s="73" t="s">
        <v>47</v>
      </c>
      <c r="G106" s="74">
        <v>0.5</v>
      </c>
      <c r="H106" s="73" t="s">
        <v>48</v>
      </c>
      <c r="I106" s="74">
        <v>0.5</v>
      </c>
      <c r="J106" s="75">
        <f t="shared" si="6"/>
        <v>212.4</v>
      </c>
      <c r="K106" s="75">
        <f t="shared" si="7"/>
        <v>212.4</v>
      </c>
      <c r="L106" s="70" t="s">
        <v>204</v>
      </c>
    </row>
    <row r="107" spans="1:12" x14ac:dyDescent="0.25">
      <c r="A107" s="69">
        <v>510101</v>
      </c>
      <c r="B107" s="70" t="s">
        <v>202</v>
      </c>
      <c r="C107" s="71">
        <v>46223</v>
      </c>
      <c r="D107" s="70" t="s">
        <v>247</v>
      </c>
      <c r="E107" s="72">
        <v>1100</v>
      </c>
      <c r="F107" s="73" t="s">
        <v>47</v>
      </c>
      <c r="G107" s="74">
        <v>0.5</v>
      </c>
      <c r="H107" s="73" t="s">
        <v>48</v>
      </c>
      <c r="I107" s="74">
        <v>0.5</v>
      </c>
      <c r="J107" s="75">
        <f t="shared" si="6"/>
        <v>550</v>
      </c>
      <c r="K107" s="75">
        <f t="shared" si="7"/>
        <v>550</v>
      </c>
      <c r="L107" s="70" t="s">
        <v>204</v>
      </c>
    </row>
    <row r="108" spans="1:12" x14ac:dyDescent="0.25">
      <c r="A108" s="69">
        <v>510101</v>
      </c>
      <c r="B108" s="70" t="s">
        <v>202</v>
      </c>
      <c r="C108" s="71">
        <v>46223</v>
      </c>
      <c r="D108" s="70" t="s">
        <v>248</v>
      </c>
      <c r="E108" s="72">
        <v>1100</v>
      </c>
      <c r="F108" s="73" t="s">
        <v>47</v>
      </c>
      <c r="G108" s="74">
        <v>0.5</v>
      </c>
      <c r="H108" s="73" t="s">
        <v>48</v>
      </c>
      <c r="I108" s="74">
        <v>0.5</v>
      </c>
      <c r="J108" s="75">
        <f t="shared" si="6"/>
        <v>550</v>
      </c>
      <c r="K108" s="75">
        <f t="shared" si="7"/>
        <v>550</v>
      </c>
      <c r="L108" s="70" t="s">
        <v>204</v>
      </c>
    </row>
    <row r="109" spans="1:12" x14ac:dyDescent="0.25">
      <c r="A109" s="69">
        <v>510101</v>
      </c>
      <c r="B109" s="70" t="s">
        <v>202</v>
      </c>
      <c r="C109" s="71">
        <v>46223</v>
      </c>
      <c r="D109" s="70" t="s">
        <v>249</v>
      </c>
      <c r="E109" s="72">
        <v>587.64</v>
      </c>
      <c r="F109" s="73" t="s">
        <v>47</v>
      </c>
      <c r="G109" s="74">
        <v>0.5</v>
      </c>
      <c r="H109" s="73" t="s">
        <v>48</v>
      </c>
      <c r="I109" s="74">
        <v>0.5</v>
      </c>
      <c r="J109" s="75">
        <f t="shared" si="6"/>
        <v>293.82</v>
      </c>
      <c r="K109" s="75">
        <f t="shared" si="7"/>
        <v>293.82</v>
      </c>
      <c r="L109" s="70" t="s">
        <v>204</v>
      </c>
    </row>
    <row r="110" spans="1:12" x14ac:dyDescent="0.25">
      <c r="A110" s="69">
        <v>510101</v>
      </c>
      <c r="B110" s="70" t="s">
        <v>202</v>
      </c>
      <c r="C110" s="71">
        <v>46223</v>
      </c>
      <c r="D110" s="70" t="s">
        <v>250</v>
      </c>
      <c r="E110" s="72">
        <v>587.64</v>
      </c>
      <c r="F110" s="73" t="s">
        <v>47</v>
      </c>
      <c r="G110" s="74">
        <v>0.5</v>
      </c>
      <c r="H110" s="73" t="s">
        <v>48</v>
      </c>
      <c r="I110" s="74">
        <v>0.5</v>
      </c>
      <c r="J110" s="75">
        <f t="shared" si="6"/>
        <v>293.82</v>
      </c>
      <c r="K110" s="75">
        <f t="shared" si="7"/>
        <v>293.82</v>
      </c>
      <c r="L110" s="70" t="s">
        <v>204</v>
      </c>
    </row>
    <row r="111" spans="1:12" x14ac:dyDescent="0.25">
      <c r="A111" s="69">
        <v>510101</v>
      </c>
      <c r="B111" s="70" t="s">
        <v>202</v>
      </c>
      <c r="C111" s="71">
        <v>46223</v>
      </c>
      <c r="D111" s="70" t="s">
        <v>251</v>
      </c>
      <c r="E111" s="72">
        <v>571.35599999999999</v>
      </c>
      <c r="F111" s="73" t="s">
        <v>47</v>
      </c>
      <c r="G111" s="74">
        <v>0.5</v>
      </c>
      <c r="H111" s="73" t="s">
        <v>48</v>
      </c>
      <c r="I111" s="74">
        <v>0.5</v>
      </c>
      <c r="J111" s="75">
        <f t="shared" si="6"/>
        <v>285.678</v>
      </c>
      <c r="K111" s="75">
        <f t="shared" si="7"/>
        <v>285.678</v>
      </c>
      <c r="L111" s="70" t="s">
        <v>204</v>
      </c>
    </row>
    <row r="112" spans="1:12" x14ac:dyDescent="0.25">
      <c r="A112" s="69">
        <v>510101</v>
      </c>
      <c r="B112" s="70" t="s">
        <v>202</v>
      </c>
      <c r="C112" s="71">
        <v>46223</v>
      </c>
      <c r="D112" s="70" t="s">
        <v>252</v>
      </c>
      <c r="E112" s="72">
        <v>530.29200000000003</v>
      </c>
      <c r="F112" s="73" t="s">
        <v>47</v>
      </c>
      <c r="G112" s="74">
        <v>0.5</v>
      </c>
      <c r="H112" s="73" t="s">
        <v>48</v>
      </c>
      <c r="I112" s="74">
        <v>0.5</v>
      </c>
      <c r="J112" s="75">
        <f t="shared" si="6"/>
        <v>265.14600000000002</v>
      </c>
      <c r="K112" s="75">
        <f t="shared" si="7"/>
        <v>265.14600000000002</v>
      </c>
      <c r="L112" s="70" t="s">
        <v>204</v>
      </c>
    </row>
    <row r="113" spans="1:12" x14ac:dyDescent="0.25">
      <c r="A113" s="69">
        <v>510101</v>
      </c>
      <c r="B113" s="70" t="s">
        <v>202</v>
      </c>
      <c r="C113" s="71">
        <v>46223</v>
      </c>
      <c r="D113" s="70" t="s">
        <v>253</v>
      </c>
      <c r="E113" s="72">
        <v>530.29200000000003</v>
      </c>
      <c r="F113" s="73" t="s">
        <v>47</v>
      </c>
      <c r="G113" s="74">
        <v>0.5</v>
      </c>
      <c r="H113" s="73" t="s">
        <v>48</v>
      </c>
      <c r="I113" s="74">
        <v>0.5</v>
      </c>
      <c r="J113" s="75">
        <f t="shared" si="6"/>
        <v>265.14600000000002</v>
      </c>
      <c r="K113" s="75">
        <f t="shared" si="7"/>
        <v>265.14600000000002</v>
      </c>
      <c r="L113" s="70" t="s">
        <v>204</v>
      </c>
    </row>
    <row r="114" spans="1:12" x14ac:dyDescent="0.25">
      <c r="A114" s="69">
        <v>510101</v>
      </c>
      <c r="B114" s="70" t="s">
        <v>202</v>
      </c>
      <c r="C114" s="71">
        <v>46223</v>
      </c>
      <c r="D114" s="70" t="s">
        <v>254</v>
      </c>
      <c r="E114" s="72">
        <v>606.048</v>
      </c>
      <c r="F114" s="73" t="s">
        <v>47</v>
      </c>
      <c r="G114" s="74">
        <v>0.5</v>
      </c>
      <c r="H114" s="73" t="s">
        <v>48</v>
      </c>
      <c r="I114" s="74">
        <v>0.5</v>
      </c>
      <c r="J114" s="75">
        <f t="shared" si="6"/>
        <v>303.024</v>
      </c>
      <c r="K114" s="75">
        <f t="shared" si="7"/>
        <v>303.024</v>
      </c>
      <c r="L114" s="70" t="s">
        <v>204</v>
      </c>
    </row>
    <row r="115" spans="1:12" x14ac:dyDescent="0.25">
      <c r="A115" s="69">
        <v>510101</v>
      </c>
      <c r="B115" s="70" t="s">
        <v>202</v>
      </c>
      <c r="C115" s="71">
        <v>46223</v>
      </c>
      <c r="D115" s="70" t="s">
        <v>255</v>
      </c>
      <c r="E115" s="72">
        <v>602.50800000000004</v>
      </c>
      <c r="F115" s="73" t="s">
        <v>47</v>
      </c>
      <c r="G115" s="74">
        <v>0.5</v>
      </c>
      <c r="H115" s="73" t="s">
        <v>48</v>
      </c>
      <c r="I115" s="74">
        <v>0.5</v>
      </c>
      <c r="J115" s="75">
        <f t="shared" si="6"/>
        <v>301.25400000000002</v>
      </c>
      <c r="K115" s="75">
        <f t="shared" si="7"/>
        <v>301.25400000000002</v>
      </c>
      <c r="L115" s="70" t="s">
        <v>204</v>
      </c>
    </row>
    <row r="116" spans="1:12" x14ac:dyDescent="0.25">
      <c r="A116" s="69">
        <v>510101</v>
      </c>
      <c r="B116" s="70" t="s">
        <v>202</v>
      </c>
      <c r="C116" s="71">
        <v>46223</v>
      </c>
      <c r="D116" s="70" t="s">
        <v>256</v>
      </c>
      <c r="E116" s="72">
        <v>545.16</v>
      </c>
      <c r="F116" s="73" t="s">
        <v>47</v>
      </c>
      <c r="G116" s="74">
        <v>0.5</v>
      </c>
      <c r="H116" s="73" t="s">
        <v>48</v>
      </c>
      <c r="I116" s="74">
        <v>0.5</v>
      </c>
      <c r="J116" s="75">
        <f t="shared" si="6"/>
        <v>272.58</v>
      </c>
      <c r="K116" s="75">
        <f t="shared" si="7"/>
        <v>272.58</v>
      </c>
      <c r="L116" s="70" t="s">
        <v>204</v>
      </c>
    </row>
    <row r="117" spans="1:12" x14ac:dyDescent="0.25">
      <c r="A117" s="69">
        <v>510101</v>
      </c>
      <c r="B117" s="70" t="s">
        <v>202</v>
      </c>
      <c r="C117" s="71">
        <v>46223</v>
      </c>
      <c r="D117" s="70" t="s">
        <v>257</v>
      </c>
      <c r="E117" s="72">
        <v>545.16</v>
      </c>
      <c r="F117" s="73" t="s">
        <v>47</v>
      </c>
      <c r="G117" s="74">
        <v>0.5</v>
      </c>
      <c r="H117" s="73" t="s">
        <v>48</v>
      </c>
      <c r="I117" s="74">
        <v>0.5</v>
      </c>
      <c r="J117" s="75">
        <f t="shared" si="6"/>
        <v>272.58</v>
      </c>
      <c r="K117" s="75">
        <f t="shared" si="7"/>
        <v>272.58</v>
      </c>
      <c r="L117" s="70" t="s">
        <v>204</v>
      </c>
    </row>
    <row r="118" spans="1:12" x14ac:dyDescent="0.25">
      <c r="A118" s="69">
        <v>510101</v>
      </c>
      <c r="B118" s="70" t="s">
        <v>202</v>
      </c>
      <c r="C118" s="71">
        <v>46223</v>
      </c>
      <c r="D118" s="70" t="s">
        <v>258</v>
      </c>
      <c r="E118" s="72">
        <v>602.50800000000004</v>
      </c>
      <c r="F118" s="73" t="s">
        <v>47</v>
      </c>
      <c r="G118" s="74">
        <v>0.5</v>
      </c>
      <c r="H118" s="73" t="s">
        <v>48</v>
      </c>
      <c r="I118" s="74">
        <v>0.5</v>
      </c>
      <c r="J118" s="75">
        <f t="shared" si="6"/>
        <v>301.25400000000002</v>
      </c>
      <c r="K118" s="75">
        <f t="shared" si="7"/>
        <v>301.25400000000002</v>
      </c>
      <c r="L118" s="70" t="s">
        <v>204</v>
      </c>
    </row>
    <row r="119" spans="1:12" x14ac:dyDescent="0.25">
      <c r="A119" s="69">
        <v>510101</v>
      </c>
      <c r="B119" s="70" t="s">
        <v>202</v>
      </c>
      <c r="C119" s="71">
        <v>46254</v>
      </c>
      <c r="D119" s="70" t="s">
        <v>259</v>
      </c>
      <c r="E119" s="72">
        <v>424.8</v>
      </c>
      <c r="F119" s="73" t="s">
        <v>47</v>
      </c>
      <c r="G119" s="74">
        <v>0.5</v>
      </c>
      <c r="H119" s="73" t="s">
        <v>48</v>
      </c>
      <c r="I119" s="74">
        <v>0.5</v>
      </c>
      <c r="J119" s="75">
        <f t="shared" si="6"/>
        <v>212.4</v>
      </c>
      <c r="K119" s="75">
        <f t="shared" si="7"/>
        <v>212.4</v>
      </c>
      <c r="L119" s="70" t="s">
        <v>204</v>
      </c>
    </row>
    <row r="120" spans="1:12" x14ac:dyDescent="0.25">
      <c r="A120" s="69">
        <v>510101</v>
      </c>
      <c r="B120" s="70" t="s">
        <v>202</v>
      </c>
      <c r="C120" s="71">
        <v>46254</v>
      </c>
      <c r="D120" s="70" t="s">
        <v>260</v>
      </c>
      <c r="E120" s="72">
        <v>1100</v>
      </c>
      <c r="F120" s="73" t="s">
        <v>47</v>
      </c>
      <c r="G120" s="74">
        <v>0.5</v>
      </c>
      <c r="H120" s="73" t="s">
        <v>48</v>
      </c>
      <c r="I120" s="74">
        <v>0.5</v>
      </c>
      <c r="J120" s="75">
        <f t="shared" si="6"/>
        <v>550</v>
      </c>
      <c r="K120" s="75">
        <f t="shared" si="7"/>
        <v>550</v>
      </c>
      <c r="L120" s="70" t="s">
        <v>204</v>
      </c>
    </row>
    <row r="121" spans="1:12" x14ac:dyDescent="0.25">
      <c r="A121" s="69">
        <v>510101</v>
      </c>
      <c r="B121" s="70" t="s">
        <v>202</v>
      </c>
      <c r="C121" s="71">
        <v>46254</v>
      </c>
      <c r="D121" s="70" t="s">
        <v>261</v>
      </c>
      <c r="E121" s="72">
        <v>1100</v>
      </c>
      <c r="F121" s="73" t="s">
        <v>47</v>
      </c>
      <c r="G121" s="74">
        <v>0.5</v>
      </c>
      <c r="H121" s="73" t="s">
        <v>48</v>
      </c>
      <c r="I121" s="74">
        <v>0.5</v>
      </c>
      <c r="J121" s="75">
        <f t="shared" si="6"/>
        <v>550</v>
      </c>
      <c r="K121" s="75">
        <f t="shared" si="7"/>
        <v>550</v>
      </c>
      <c r="L121" s="70" t="s">
        <v>204</v>
      </c>
    </row>
    <row r="122" spans="1:12" x14ac:dyDescent="0.25">
      <c r="A122" s="69">
        <v>510101</v>
      </c>
      <c r="B122" s="70" t="s">
        <v>202</v>
      </c>
      <c r="C122" s="71">
        <v>46254</v>
      </c>
      <c r="D122" s="70" t="s">
        <v>262</v>
      </c>
      <c r="E122" s="72">
        <v>495.6</v>
      </c>
      <c r="F122" s="73" t="s">
        <v>47</v>
      </c>
      <c r="G122" s="74">
        <v>0.5</v>
      </c>
      <c r="H122" s="73" t="s">
        <v>48</v>
      </c>
      <c r="I122" s="74">
        <v>0.5</v>
      </c>
      <c r="J122" s="75">
        <f t="shared" si="6"/>
        <v>247.8</v>
      </c>
      <c r="K122" s="75">
        <f t="shared" si="7"/>
        <v>247.8</v>
      </c>
      <c r="L122" s="70" t="s">
        <v>204</v>
      </c>
    </row>
    <row r="123" spans="1:12" x14ac:dyDescent="0.25">
      <c r="A123" s="69">
        <v>510101</v>
      </c>
      <c r="B123" s="70" t="s">
        <v>202</v>
      </c>
      <c r="C123" s="71">
        <v>46254</v>
      </c>
      <c r="D123" s="70" t="s">
        <v>263</v>
      </c>
      <c r="E123" s="72">
        <v>495.6</v>
      </c>
      <c r="F123" s="73" t="s">
        <v>47</v>
      </c>
      <c r="G123" s="74">
        <v>0.5</v>
      </c>
      <c r="H123" s="73" t="s">
        <v>48</v>
      </c>
      <c r="I123" s="74">
        <v>0.5</v>
      </c>
      <c r="J123" s="75">
        <f t="shared" si="6"/>
        <v>247.8</v>
      </c>
      <c r="K123" s="75">
        <f t="shared" si="7"/>
        <v>247.8</v>
      </c>
      <c r="L123" s="70" t="s">
        <v>204</v>
      </c>
    </row>
    <row r="124" spans="1:12" x14ac:dyDescent="0.25">
      <c r="A124" s="69">
        <v>510101</v>
      </c>
      <c r="B124" s="70" t="s">
        <v>202</v>
      </c>
      <c r="C124" s="71">
        <v>46254</v>
      </c>
      <c r="D124" s="70" t="s">
        <v>264</v>
      </c>
      <c r="E124" s="72">
        <v>495.6</v>
      </c>
      <c r="F124" s="73" t="s">
        <v>47</v>
      </c>
      <c r="G124" s="74">
        <v>0.5</v>
      </c>
      <c r="H124" s="73" t="s">
        <v>48</v>
      </c>
      <c r="I124" s="74">
        <v>0.5</v>
      </c>
      <c r="J124" s="75">
        <f t="shared" si="6"/>
        <v>247.8</v>
      </c>
      <c r="K124" s="75">
        <f t="shared" si="7"/>
        <v>247.8</v>
      </c>
      <c r="L124" s="70" t="s">
        <v>204</v>
      </c>
    </row>
    <row r="125" spans="1:12" x14ac:dyDescent="0.25">
      <c r="A125" s="69">
        <v>510101</v>
      </c>
      <c r="B125" s="70" t="s">
        <v>202</v>
      </c>
      <c r="C125" s="71">
        <v>46254</v>
      </c>
      <c r="D125" s="70" t="s">
        <v>265</v>
      </c>
      <c r="E125" s="72">
        <v>495.6</v>
      </c>
      <c r="F125" s="73" t="s">
        <v>47</v>
      </c>
      <c r="G125" s="74">
        <v>0.5</v>
      </c>
      <c r="H125" s="73" t="s">
        <v>48</v>
      </c>
      <c r="I125" s="74">
        <v>0.5</v>
      </c>
      <c r="J125" s="75">
        <f t="shared" si="6"/>
        <v>247.8</v>
      </c>
      <c r="K125" s="75">
        <f t="shared" si="7"/>
        <v>247.8</v>
      </c>
      <c r="L125" s="70" t="s">
        <v>204</v>
      </c>
    </row>
    <row r="126" spans="1:12" x14ac:dyDescent="0.25">
      <c r="A126" s="69">
        <v>510101</v>
      </c>
      <c r="B126" s="70" t="s">
        <v>202</v>
      </c>
      <c r="C126" s="71">
        <v>46254</v>
      </c>
      <c r="D126" s="70" t="s">
        <v>266</v>
      </c>
      <c r="E126" s="72">
        <v>495.6</v>
      </c>
      <c r="F126" s="73" t="s">
        <v>47</v>
      </c>
      <c r="G126" s="74">
        <v>0.5</v>
      </c>
      <c r="H126" s="73" t="s">
        <v>48</v>
      </c>
      <c r="I126" s="74">
        <v>0.5</v>
      </c>
      <c r="J126" s="75">
        <f t="shared" si="6"/>
        <v>247.8</v>
      </c>
      <c r="K126" s="75">
        <f t="shared" si="7"/>
        <v>247.8</v>
      </c>
      <c r="L126" s="70" t="s">
        <v>204</v>
      </c>
    </row>
    <row r="127" spans="1:12" x14ac:dyDescent="0.25">
      <c r="A127" s="69">
        <v>510101</v>
      </c>
      <c r="B127" s="70" t="s">
        <v>202</v>
      </c>
      <c r="C127" s="71">
        <v>46254</v>
      </c>
      <c r="D127" s="70" t="s">
        <v>267</v>
      </c>
      <c r="E127" s="72">
        <v>495.6</v>
      </c>
      <c r="F127" s="73" t="s">
        <v>47</v>
      </c>
      <c r="G127" s="74">
        <v>0.5</v>
      </c>
      <c r="H127" s="73" t="s">
        <v>48</v>
      </c>
      <c r="I127" s="74">
        <v>0.5</v>
      </c>
      <c r="J127" s="75">
        <f t="shared" si="6"/>
        <v>247.8</v>
      </c>
      <c r="K127" s="75">
        <f t="shared" si="7"/>
        <v>247.8</v>
      </c>
      <c r="L127" s="70" t="s">
        <v>204</v>
      </c>
    </row>
    <row r="128" spans="1:12" x14ac:dyDescent="0.25">
      <c r="A128" s="69">
        <v>510101</v>
      </c>
      <c r="B128" s="70" t="s">
        <v>202</v>
      </c>
      <c r="C128" s="71">
        <v>46254</v>
      </c>
      <c r="D128" s="70" t="s">
        <v>268</v>
      </c>
      <c r="E128" s="72">
        <v>495.6</v>
      </c>
      <c r="F128" s="73" t="s">
        <v>47</v>
      </c>
      <c r="G128" s="74">
        <v>0.5</v>
      </c>
      <c r="H128" s="73" t="s">
        <v>48</v>
      </c>
      <c r="I128" s="74">
        <v>0.5</v>
      </c>
      <c r="J128" s="75">
        <f t="shared" si="6"/>
        <v>247.8</v>
      </c>
      <c r="K128" s="75">
        <f t="shared" si="7"/>
        <v>247.8</v>
      </c>
      <c r="L128" s="70" t="s">
        <v>204</v>
      </c>
    </row>
    <row r="129" spans="1:12" x14ac:dyDescent="0.25">
      <c r="A129" s="69">
        <v>510101</v>
      </c>
      <c r="B129" s="70" t="s">
        <v>202</v>
      </c>
      <c r="C129" s="71">
        <v>46254</v>
      </c>
      <c r="D129" s="70" t="s">
        <v>269</v>
      </c>
      <c r="E129" s="72">
        <v>495.6</v>
      </c>
      <c r="F129" s="73" t="s">
        <v>47</v>
      </c>
      <c r="G129" s="74">
        <v>0.5</v>
      </c>
      <c r="H129" s="73" t="s">
        <v>48</v>
      </c>
      <c r="I129" s="74">
        <v>0.5</v>
      </c>
      <c r="J129" s="75">
        <f t="shared" si="6"/>
        <v>247.8</v>
      </c>
      <c r="K129" s="75">
        <f t="shared" si="7"/>
        <v>247.8</v>
      </c>
      <c r="L129" s="70" t="s">
        <v>204</v>
      </c>
    </row>
    <row r="130" spans="1:12" x14ac:dyDescent="0.25">
      <c r="A130" s="69">
        <v>510101</v>
      </c>
      <c r="B130" s="70" t="s">
        <v>202</v>
      </c>
      <c r="C130" s="71">
        <v>46254</v>
      </c>
      <c r="D130" s="70" t="s">
        <v>270</v>
      </c>
      <c r="E130" s="72">
        <v>495.6</v>
      </c>
      <c r="F130" s="73" t="s">
        <v>47</v>
      </c>
      <c r="G130" s="74">
        <v>0.5</v>
      </c>
      <c r="H130" s="73" t="s">
        <v>48</v>
      </c>
      <c r="I130" s="74">
        <v>0.5</v>
      </c>
      <c r="J130" s="75">
        <f t="shared" si="6"/>
        <v>247.8</v>
      </c>
      <c r="K130" s="75">
        <f t="shared" si="7"/>
        <v>247.8</v>
      </c>
      <c r="L130" s="70" t="s">
        <v>204</v>
      </c>
    </row>
    <row r="131" spans="1:12" x14ac:dyDescent="0.25">
      <c r="A131" s="69">
        <v>510101</v>
      </c>
      <c r="B131" s="70" t="s">
        <v>202</v>
      </c>
      <c r="C131" s="71">
        <v>46254</v>
      </c>
      <c r="D131" s="70" t="s">
        <v>271</v>
      </c>
      <c r="E131" s="72">
        <v>495.6</v>
      </c>
      <c r="F131" s="73" t="s">
        <v>47</v>
      </c>
      <c r="G131" s="74">
        <v>0.5</v>
      </c>
      <c r="H131" s="73" t="s">
        <v>48</v>
      </c>
      <c r="I131" s="74">
        <v>0.5</v>
      </c>
      <c r="J131" s="75">
        <f t="shared" si="6"/>
        <v>247.8</v>
      </c>
      <c r="K131" s="75">
        <f t="shared" si="7"/>
        <v>247.8</v>
      </c>
      <c r="L131" s="70" t="s">
        <v>204</v>
      </c>
    </row>
    <row r="132" spans="1:12" x14ac:dyDescent="0.25">
      <c r="A132" s="69">
        <v>601005</v>
      </c>
      <c r="B132" s="70" t="s">
        <v>272</v>
      </c>
      <c r="C132" s="71">
        <v>46173</v>
      </c>
      <c r="D132" s="70" t="s">
        <v>273</v>
      </c>
      <c r="E132" s="72">
        <v>282</v>
      </c>
      <c r="F132" s="73" t="s">
        <v>320</v>
      </c>
      <c r="G132" s="74">
        <v>1</v>
      </c>
      <c r="H132" s="73"/>
      <c r="I132" s="74">
        <v>0</v>
      </c>
      <c r="J132" s="75">
        <f t="shared" si="6"/>
        <v>282</v>
      </c>
      <c r="K132" s="75">
        <f t="shared" si="7"/>
        <v>0</v>
      </c>
      <c r="L132" s="70" t="s">
        <v>321</v>
      </c>
    </row>
    <row r="133" spans="1:12" x14ac:dyDescent="0.25">
      <c r="A133" s="69">
        <v>601005</v>
      </c>
      <c r="B133" s="70" t="s">
        <v>272</v>
      </c>
      <c r="C133" s="71">
        <v>46244</v>
      </c>
      <c r="D133" s="70" t="s">
        <v>274</v>
      </c>
      <c r="E133" s="72">
        <v>998.81100000000004</v>
      </c>
      <c r="F133" s="73" t="s">
        <v>320</v>
      </c>
      <c r="G133" s="74">
        <v>1</v>
      </c>
      <c r="H133" s="73"/>
      <c r="I133" s="74">
        <v>0</v>
      </c>
      <c r="J133" s="75">
        <f t="shared" si="6"/>
        <v>998.81100000000004</v>
      </c>
      <c r="K133" s="75">
        <f t="shared" si="7"/>
        <v>0</v>
      </c>
      <c r="L133" s="70" t="s">
        <v>321</v>
      </c>
    </row>
    <row r="134" spans="1:12" x14ac:dyDescent="0.25">
      <c r="A134" s="69">
        <v>601005</v>
      </c>
      <c r="B134" s="70" t="s">
        <v>272</v>
      </c>
      <c r="C134" s="71">
        <v>46244</v>
      </c>
      <c r="D134" s="70" t="s">
        <v>275</v>
      </c>
      <c r="E134" s="72">
        <v>6732.7259999999997</v>
      </c>
      <c r="F134" s="73" t="s">
        <v>320</v>
      </c>
      <c r="G134" s="74">
        <v>1</v>
      </c>
      <c r="H134" s="73"/>
      <c r="I134" s="74">
        <v>0</v>
      </c>
      <c r="J134" s="75">
        <f t="shared" si="6"/>
        <v>6732.7259999999997</v>
      </c>
      <c r="K134" s="75">
        <f t="shared" si="7"/>
        <v>0</v>
      </c>
      <c r="L134" s="70" t="s">
        <v>321</v>
      </c>
    </row>
    <row r="135" spans="1:12" x14ac:dyDescent="0.25">
      <c r="A135" s="69">
        <v>601005</v>
      </c>
      <c r="B135" s="70" t="s">
        <v>272</v>
      </c>
      <c r="C135" s="71">
        <v>46254</v>
      </c>
      <c r="D135" s="70" t="s">
        <v>276</v>
      </c>
      <c r="E135" s="72">
        <v>73.986000000000004</v>
      </c>
      <c r="F135" s="73" t="s">
        <v>320</v>
      </c>
      <c r="G135" s="74">
        <v>1</v>
      </c>
      <c r="H135" s="73"/>
      <c r="I135" s="74">
        <v>0</v>
      </c>
      <c r="J135" s="75">
        <f t="shared" si="6"/>
        <v>73.986000000000004</v>
      </c>
      <c r="K135" s="75">
        <f t="shared" si="7"/>
        <v>0</v>
      </c>
      <c r="L135" s="70" t="s">
        <v>321</v>
      </c>
    </row>
    <row r="136" spans="1:12" x14ac:dyDescent="0.25">
      <c r="A136" s="69">
        <v>601005</v>
      </c>
      <c r="B136" s="70" t="s">
        <v>272</v>
      </c>
      <c r="C136" s="71">
        <v>46254</v>
      </c>
      <c r="D136" s="70" t="s">
        <v>277</v>
      </c>
      <c r="E136" s="72">
        <v>73.986000000000004</v>
      </c>
      <c r="F136" s="73" t="s">
        <v>320</v>
      </c>
      <c r="G136" s="74">
        <v>1</v>
      </c>
      <c r="H136" s="73"/>
      <c r="I136" s="74">
        <v>0</v>
      </c>
      <c r="J136" s="75">
        <f t="shared" ref="J136:J157" si="8">E136*G136</f>
        <v>73.986000000000004</v>
      </c>
      <c r="K136" s="75">
        <f t="shared" ref="K136:K157" si="9">E136*I136</f>
        <v>0</v>
      </c>
      <c r="L136" s="70" t="s">
        <v>321</v>
      </c>
    </row>
    <row r="137" spans="1:12" x14ac:dyDescent="0.25">
      <c r="A137" s="69">
        <v>601005</v>
      </c>
      <c r="B137" s="70" t="s">
        <v>272</v>
      </c>
      <c r="C137" s="71">
        <v>46254</v>
      </c>
      <c r="D137" s="70" t="s">
        <v>278</v>
      </c>
      <c r="E137" s="72">
        <v>95.933999999999997</v>
      </c>
      <c r="F137" s="73" t="s">
        <v>320</v>
      </c>
      <c r="G137" s="74">
        <v>1</v>
      </c>
      <c r="H137" s="73"/>
      <c r="I137" s="74">
        <v>0</v>
      </c>
      <c r="J137" s="75">
        <f t="shared" si="8"/>
        <v>95.933999999999997</v>
      </c>
      <c r="K137" s="75">
        <f t="shared" si="9"/>
        <v>0</v>
      </c>
      <c r="L137" s="70" t="s">
        <v>321</v>
      </c>
    </row>
    <row r="138" spans="1:12" x14ac:dyDescent="0.25">
      <c r="A138" s="69">
        <v>601005</v>
      </c>
      <c r="B138" s="70" t="s">
        <v>272</v>
      </c>
      <c r="C138" s="71">
        <v>46254</v>
      </c>
      <c r="D138" s="70" t="s">
        <v>279</v>
      </c>
      <c r="E138" s="72">
        <v>26.904</v>
      </c>
      <c r="F138" s="73" t="s">
        <v>320</v>
      </c>
      <c r="G138" s="74">
        <v>1</v>
      </c>
      <c r="H138" s="73"/>
      <c r="I138" s="74">
        <v>0</v>
      </c>
      <c r="J138" s="75">
        <f t="shared" si="8"/>
        <v>26.904</v>
      </c>
      <c r="K138" s="75">
        <f t="shared" si="9"/>
        <v>0</v>
      </c>
      <c r="L138" s="70" t="s">
        <v>321</v>
      </c>
    </row>
    <row r="139" spans="1:12" x14ac:dyDescent="0.25">
      <c r="A139" s="69">
        <v>601005</v>
      </c>
      <c r="B139" s="70" t="s">
        <v>272</v>
      </c>
      <c r="C139" s="71">
        <v>46254</v>
      </c>
      <c r="D139" s="70" t="s">
        <v>280</v>
      </c>
      <c r="E139" s="72">
        <v>26.904</v>
      </c>
      <c r="F139" s="73" t="s">
        <v>320</v>
      </c>
      <c r="G139" s="74">
        <v>1</v>
      </c>
      <c r="H139" s="73"/>
      <c r="I139" s="74">
        <v>0</v>
      </c>
      <c r="J139" s="75">
        <f t="shared" si="8"/>
        <v>26.904</v>
      </c>
      <c r="K139" s="75">
        <f t="shared" si="9"/>
        <v>0</v>
      </c>
      <c r="L139" s="70" t="s">
        <v>321</v>
      </c>
    </row>
    <row r="140" spans="1:12" x14ac:dyDescent="0.25">
      <c r="A140" s="69">
        <v>601005</v>
      </c>
      <c r="B140" s="70" t="s">
        <v>272</v>
      </c>
      <c r="C140" s="71">
        <v>46254</v>
      </c>
      <c r="D140" s="70" t="s">
        <v>281</v>
      </c>
      <c r="E140" s="72">
        <v>95.933999999999997</v>
      </c>
      <c r="F140" s="73" t="s">
        <v>320</v>
      </c>
      <c r="G140" s="74">
        <v>1</v>
      </c>
      <c r="H140" s="73"/>
      <c r="I140" s="74">
        <v>0</v>
      </c>
      <c r="J140" s="75">
        <f t="shared" si="8"/>
        <v>95.933999999999997</v>
      </c>
      <c r="K140" s="75">
        <f t="shared" si="9"/>
        <v>0</v>
      </c>
      <c r="L140" s="70" t="s">
        <v>321</v>
      </c>
    </row>
    <row r="141" spans="1:12" x14ac:dyDescent="0.25">
      <c r="A141" s="69">
        <v>601005</v>
      </c>
      <c r="B141" s="70" t="s">
        <v>272</v>
      </c>
      <c r="C141" s="71">
        <v>46254</v>
      </c>
      <c r="D141" s="70" t="s">
        <v>282</v>
      </c>
      <c r="E141" s="72">
        <v>122.48399999999999</v>
      </c>
      <c r="F141" s="73" t="s">
        <v>320</v>
      </c>
      <c r="G141" s="74">
        <v>1</v>
      </c>
      <c r="H141" s="73"/>
      <c r="I141" s="74">
        <v>0</v>
      </c>
      <c r="J141" s="75">
        <f t="shared" si="8"/>
        <v>122.48399999999999</v>
      </c>
      <c r="K141" s="75">
        <f t="shared" si="9"/>
        <v>0</v>
      </c>
      <c r="L141" s="70" t="s">
        <v>321</v>
      </c>
    </row>
    <row r="142" spans="1:12" x14ac:dyDescent="0.25">
      <c r="A142" s="69">
        <v>601005</v>
      </c>
      <c r="B142" s="70" t="s">
        <v>272</v>
      </c>
      <c r="C142" s="71">
        <v>46254</v>
      </c>
      <c r="D142" s="70" t="s">
        <v>283</v>
      </c>
      <c r="E142" s="72">
        <v>19.47</v>
      </c>
      <c r="F142" s="73" t="s">
        <v>320</v>
      </c>
      <c r="G142" s="74">
        <v>1</v>
      </c>
      <c r="H142" s="73"/>
      <c r="I142" s="74">
        <v>0</v>
      </c>
      <c r="J142" s="75">
        <f t="shared" si="8"/>
        <v>19.47</v>
      </c>
      <c r="K142" s="75">
        <f t="shared" si="9"/>
        <v>0</v>
      </c>
      <c r="L142" s="70" t="s">
        <v>321</v>
      </c>
    </row>
    <row r="143" spans="1:12" x14ac:dyDescent="0.25">
      <c r="A143" s="69">
        <v>601005</v>
      </c>
      <c r="B143" s="70" t="s">
        <v>272</v>
      </c>
      <c r="C143" s="71">
        <v>46254</v>
      </c>
      <c r="D143" s="70" t="s">
        <v>284</v>
      </c>
      <c r="E143" s="72">
        <v>19.47</v>
      </c>
      <c r="F143" s="73" t="s">
        <v>320</v>
      </c>
      <c r="G143" s="74">
        <v>1</v>
      </c>
      <c r="H143" s="73"/>
      <c r="I143" s="74">
        <v>0</v>
      </c>
      <c r="J143" s="75">
        <f t="shared" si="8"/>
        <v>19.47</v>
      </c>
      <c r="K143" s="75">
        <f t="shared" si="9"/>
        <v>0</v>
      </c>
      <c r="L143" s="70" t="s">
        <v>321</v>
      </c>
    </row>
    <row r="144" spans="1:12" x14ac:dyDescent="0.25">
      <c r="A144" s="69">
        <v>601005</v>
      </c>
      <c r="B144" s="70" t="s">
        <v>272</v>
      </c>
      <c r="C144" s="71">
        <v>46254</v>
      </c>
      <c r="D144" s="70" t="s">
        <v>285</v>
      </c>
      <c r="E144" s="72">
        <v>122.48399999999999</v>
      </c>
      <c r="F144" s="73" t="s">
        <v>320</v>
      </c>
      <c r="G144" s="74">
        <v>1</v>
      </c>
      <c r="H144" s="73"/>
      <c r="I144" s="74">
        <v>0</v>
      </c>
      <c r="J144" s="75">
        <f t="shared" si="8"/>
        <v>122.48399999999999</v>
      </c>
      <c r="K144" s="75">
        <f t="shared" si="9"/>
        <v>0</v>
      </c>
      <c r="L144" s="70" t="s">
        <v>321</v>
      </c>
    </row>
    <row r="145" spans="1:12" x14ac:dyDescent="0.25">
      <c r="A145" s="69">
        <v>510103</v>
      </c>
      <c r="B145" s="70" t="s">
        <v>286</v>
      </c>
      <c r="C145" s="71">
        <v>46175</v>
      </c>
      <c r="D145" s="70" t="s">
        <v>287</v>
      </c>
      <c r="E145" s="72">
        <v>350</v>
      </c>
      <c r="F145" s="73" t="s">
        <v>320</v>
      </c>
      <c r="G145" s="74">
        <v>1</v>
      </c>
      <c r="H145" s="73"/>
      <c r="I145" s="74">
        <v>0</v>
      </c>
      <c r="J145" s="75">
        <f t="shared" si="8"/>
        <v>350</v>
      </c>
      <c r="K145" s="75">
        <f t="shared" si="9"/>
        <v>0</v>
      </c>
      <c r="L145" s="70" t="s">
        <v>321</v>
      </c>
    </row>
    <row r="146" spans="1:12" x14ac:dyDescent="0.25">
      <c r="A146" s="69">
        <v>510103</v>
      </c>
      <c r="B146" s="70" t="s">
        <v>286</v>
      </c>
      <c r="C146" s="71">
        <v>46195</v>
      </c>
      <c r="D146" s="70" t="s">
        <v>288</v>
      </c>
      <c r="E146" s="72">
        <v>700</v>
      </c>
      <c r="F146" s="73" t="s">
        <v>320</v>
      </c>
      <c r="G146" s="74">
        <v>1</v>
      </c>
      <c r="H146" s="73"/>
      <c r="I146" s="74">
        <v>0</v>
      </c>
      <c r="J146" s="75">
        <f t="shared" si="8"/>
        <v>700</v>
      </c>
      <c r="K146" s="75">
        <f t="shared" si="9"/>
        <v>0</v>
      </c>
      <c r="L146" s="70" t="s">
        <v>321</v>
      </c>
    </row>
    <row r="147" spans="1:12" x14ac:dyDescent="0.25">
      <c r="A147" s="69">
        <v>510103</v>
      </c>
      <c r="B147" s="70" t="s">
        <v>286</v>
      </c>
      <c r="C147" s="71">
        <v>46195</v>
      </c>
      <c r="D147" s="70" t="s">
        <v>289</v>
      </c>
      <c r="E147" s="72">
        <v>180</v>
      </c>
      <c r="F147" s="73" t="s">
        <v>320</v>
      </c>
      <c r="G147" s="74">
        <v>1</v>
      </c>
      <c r="H147" s="73"/>
      <c r="I147" s="74">
        <v>0</v>
      </c>
      <c r="J147" s="75">
        <f t="shared" si="8"/>
        <v>180</v>
      </c>
      <c r="K147" s="75">
        <f t="shared" si="9"/>
        <v>0</v>
      </c>
      <c r="L147" s="70" t="s">
        <v>321</v>
      </c>
    </row>
    <row r="148" spans="1:12" x14ac:dyDescent="0.25">
      <c r="A148" s="69">
        <v>510103</v>
      </c>
      <c r="B148" s="70" t="s">
        <v>286</v>
      </c>
      <c r="C148" s="71">
        <v>46208</v>
      </c>
      <c r="D148" s="70" t="s">
        <v>290</v>
      </c>
      <c r="E148" s="72">
        <v>1110</v>
      </c>
      <c r="F148" s="73" t="s">
        <v>320</v>
      </c>
      <c r="G148" s="74">
        <v>1</v>
      </c>
      <c r="H148" s="73"/>
      <c r="I148" s="74">
        <v>0</v>
      </c>
      <c r="J148" s="75">
        <f t="shared" si="8"/>
        <v>1110</v>
      </c>
      <c r="K148" s="75">
        <f t="shared" si="9"/>
        <v>0</v>
      </c>
      <c r="L148" s="70" t="s">
        <v>321</v>
      </c>
    </row>
    <row r="149" spans="1:12" x14ac:dyDescent="0.25">
      <c r="A149" s="69">
        <v>510103</v>
      </c>
      <c r="B149" s="70" t="s">
        <v>286</v>
      </c>
      <c r="C149" s="71">
        <v>46209</v>
      </c>
      <c r="D149" s="70" t="s">
        <v>291</v>
      </c>
      <c r="E149" s="72">
        <v>34.64</v>
      </c>
      <c r="F149" s="73" t="s">
        <v>320</v>
      </c>
      <c r="G149" s="74">
        <v>1</v>
      </c>
      <c r="H149" s="73"/>
      <c r="I149" s="74">
        <v>0</v>
      </c>
      <c r="J149" s="75">
        <f t="shared" si="8"/>
        <v>34.64</v>
      </c>
      <c r="K149" s="75">
        <f t="shared" si="9"/>
        <v>0</v>
      </c>
      <c r="L149" s="70" t="s">
        <v>321</v>
      </c>
    </row>
    <row r="150" spans="1:12" x14ac:dyDescent="0.25">
      <c r="A150" s="69">
        <v>510103</v>
      </c>
      <c r="B150" s="70" t="s">
        <v>286</v>
      </c>
      <c r="C150" s="71">
        <v>46209</v>
      </c>
      <c r="D150" s="70" t="s">
        <v>292</v>
      </c>
      <c r="E150" s="72">
        <v>23.71</v>
      </c>
      <c r="F150" s="73" t="s">
        <v>320</v>
      </c>
      <c r="G150" s="74">
        <v>1</v>
      </c>
      <c r="H150" s="73"/>
      <c r="I150" s="74">
        <v>0</v>
      </c>
      <c r="J150" s="75">
        <f t="shared" si="8"/>
        <v>23.71</v>
      </c>
      <c r="K150" s="75">
        <f t="shared" si="9"/>
        <v>0</v>
      </c>
      <c r="L150" s="70" t="s">
        <v>321</v>
      </c>
    </row>
    <row r="151" spans="1:12" x14ac:dyDescent="0.25">
      <c r="A151" s="69">
        <v>510103</v>
      </c>
      <c r="B151" s="70" t="s">
        <v>286</v>
      </c>
      <c r="C151" s="71">
        <v>46215</v>
      </c>
      <c r="D151" s="70" t="s">
        <v>293</v>
      </c>
      <c r="E151" s="72">
        <v>13095.522000000001</v>
      </c>
      <c r="F151" s="73" t="s">
        <v>320</v>
      </c>
      <c r="G151" s="74">
        <v>1</v>
      </c>
      <c r="H151" s="73"/>
      <c r="I151" s="74">
        <v>0</v>
      </c>
      <c r="J151" s="75">
        <f t="shared" si="8"/>
        <v>13095.522000000001</v>
      </c>
      <c r="K151" s="75">
        <f t="shared" si="9"/>
        <v>0</v>
      </c>
      <c r="L151" s="70" t="s">
        <v>321</v>
      </c>
    </row>
    <row r="152" spans="1:12" x14ac:dyDescent="0.25">
      <c r="A152" s="69">
        <v>510103</v>
      </c>
      <c r="B152" s="70" t="s">
        <v>286</v>
      </c>
      <c r="C152" s="71">
        <v>46226</v>
      </c>
      <c r="D152" s="70" t="s">
        <v>294</v>
      </c>
      <c r="E152" s="72">
        <v>15.69</v>
      </c>
      <c r="F152" s="73" t="s">
        <v>320</v>
      </c>
      <c r="G152" s="74">
        <v>1</v>
      </c>
      <c r="H152" s="73"/>
      <c r="I152" s="74">
        <v>0</v>
      </c>
      <c r="J152" s="75">
        <f t="shared" si="8"/>
        <v>15.69</v>
      </c>
      <c r="K152" s="75">
        <f t="shared" si="9"/>
        <v>0</v>
      </c>
      <c r="L152" s="70" t="s">
        <v>321</v>
      </c>
    </row>
    <row r="153" spans="1:12" x14ac:dyDescent="0.25">
      <c r="A153" s="69">
        <v>510103</v>
      </c>
      <c r="B153" s="70" t="s">
        <v>286</v>
      </c>
      <c r="C153" s="71">
        <v>46233</v>
      </c>
      <c r="D153" s="70" t="s">
        <v>295</v>
      </c>
      <c r="E153" s="72">
        <v>770</v>
      </c>
      <c r="F153" s="73" t="s">
        <v>320</v>
      </c>
      <c r="G153" s="74">
        <v>1</v>
      </c>
      <c r="H153" s="73"/>
      <c r="I153" s="74">
        <v>0</v>
      </c>
      <c r="J153" s="75">
        <f t="shared" si="8"/>
        <v>770</v>
      </c>
      <c r="K153" s="75">
        <f t="shared" si="9"/>
        <v>0</v>
      </c>
      <c r="L153" s="70" t="s">
        <v>321</v>
      </c>
    </row>
    <row r="154" spans="1:12" x14ac:dyDescent="0.25">
      <c r="A154" s="69">
        <v>510103</v>
      </c>
      <c r="B154" s="70" t="s">
        <v>286</v>
      </c>
      <c r="C154" s="71">
        <v>46264</v>
      </c>
      <c r="D154" s="70" t="s">
        <v>296</v>
      </c>
      <c r="E154" s="72">
        <v>1500</v>
      </c>
      <c r="F154" s="73" t="s">
        <v>320</v>
      </c>
      <c r="G154" s="74">
        <v>1</v>
      </c>
      <c r="H154" s="73"/>
      <c r="I154" s="74">
        <v>0</v>
      </c>
      <c r="J154" s="75">
        <f t="shared" si="8"/>
        <v>1500</v>
      </c>
      <c r="K154" s="75">
        <f t="shared" si="9"/>
        <v>0</v>
      </c>
      <c r="L154" s="70" t="s">
        <v>321</v>
      </c>
    </row>
    <row r="155" spans="1:12" x14ac:dyDescent="0.25">
      <c r="A155" s="69">
        <v>510103</v>
      </c>
      <c r="B155" s="70" t="s">
        <v>286</v>
      </c>
      <c r="C155" s="71">
        <v>46279</v>
      </c>
      <c r="D155" s="70" t="s">
        <v>297</v>
      </c>
      <c r="E155" s="72">
        <v>49.5</v>
      </c>
      <c r="F155" s="73" t="s">
        <v>320</v>
      </c>
      <c r="G155" s="74">
        <v>1</v>
      </c>
      <c r="H155" s="73"/>
      <c r="I155" s="74">
        <v>0</v>
      </c>
      <c r="J155" s="75">
        <f t="shared" si="8"/>
        <v>49.5</v>
      </c>
      <c r="K155" s="75">
        <f t="shared" si="9"/>
        <v>0</v>
      </c>
      <c r="L155" s="70" t="s">
        <v>321</v>
      </c>
    </row>
    <row r="156" spans="1:12" x14ac:dyDescent="0.25">
      <c r="A156" s="69">
        <v>510103</v>
      </c>
      <c r="B156" s="70" t="s">
        <v>286</v>
      </c>
      <c r="C156" s="71">
        <v>46279</v>
      </c>
      <c r="D156" s="70" t="s">
        <v>298</v>
      </c>
      <c r="E156" s="72">
        <v>3627.67</v>
      </c>
      <c r="F156" s="73" t="s">
        <v>320</v>
      </c>
      <c r="G156" s="74">
        <v>1</v>
      </c>
      <c r="H156" s="73"/>
      <c r="I156" s="74">
        <v>0</v>
      </c>
      <c r="J156" s="75">
        <f t="shared" si="8"/>
        <v>3627.67</v>
      </c>
      <c r="K156" s="75">
        <f t="shared" si="9"/>
        <v>0</v>
      </c>
      <c r="L156" s="70" t="s">
        <v>321</v>
      </c>
    </row>
    <row r="157" spans="1:12" x14ac:dyDescent="0.25">
      <c r="A157" s="69">
        <v>601019</v>
      </c>
      <c r="B157" s="70" t="s">
        <v>299</v>
      </c>
      <c r="C157" s="71">
        <v>46160</v>
      </c>
      <c r="D157" s="70" t="s">
        <v>300</v>
      </c>
      <c r="E157" s="72">
        <v>25</v>
      </c>
      <c r="F157" s="73" t="s">
        <v>46</v>
      </c>
      <c r="G157" s="74">
        <v>1</v>
      </c>
      <c r="H157" s="73"/>
      <c r="I157" s="74">
        <v>0</v>
      </c>
      <c r="J157" s="75">
        <f t="shared" si="8"/>
        <v>25</v>
      </c>
      <c r="K157" s="75">
        <f t="shared" si="9"/>
        <v>0</v>
      </c>
      <c r="L157" s="70"/>
    </row>
  </sheetData>
  <conditionalFormatting sqref="A8:L157">
    <cfRule type="expression" dxfId="0" priority="1">
      <formula>AND($E8&lt;&gt;"",$F8="")</formula>
    </cfRule>
  </conditionalFormatting>
  <pageMargins left="0.7" right="0.7" top="0.75" bottom="0.75" header="0.3" footer="0.3"/>
  <legacyDrawing r:id="rId1"/>
</worksheet>
</file>

<file path=docMetadata/LabelInfo.xml><?xml version="1.0" encoding="utf-8"?>
<clbl:labelList xmlns:clbl="http://schemas.microsoft.com/office/2020/mipLabelMetadata">
  <clbl:label id="{7ee52cdc-30a1-4548-a0c7-80d04ffdacf8}" enabled="1" method="Standard" siteId="{cee40b02-c0c5-4f48-ae3a-da914750bb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Budget</vt:lpstr>
      <vt:lpstr>Sheet1</vt:lpstr>
      <vt:lpstr>Expense Allocation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Bilal Abbassi</dc:creator>
  <cp:lastModifiedBy>Bilal Abbassi</cp:lastModifiedBy>
  <dcterms:created xsi:type="dcterms:W3CDTF">2025-11-08T11:19:08Z</dcterms:created>
  <dcterms:modified xsi:type="dcterms:W3CDTF">2026-09-25T17:01:52Z</dcterms:modified>
</cp:coreProperties>
</file>