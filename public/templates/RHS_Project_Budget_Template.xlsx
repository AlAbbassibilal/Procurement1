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791aa7b2a4add3/Abbassi/RHS/Tools/"/>
    </mc:Choice>
  </mc:AlternateContent>
  <xr:revisionPtr revIDLastSave="0" documentId="8_{B9109C1B-4A31-4FD8-8EE0-720D83BE7FC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mmary" sheetId="1" r:id="rId1"/>
    <sheet name="Direct Cost" sheetId="2" r:id="rId2"/>
    <sheet name="Admin Cost" sheetId="3" r:id="rId3"/>
    <sheet name="Budget Narrative" sheetId="4" r:id="rId4"/>
    <sheet name="Accounts &amp; Activity" sheetId="5" r:id="rId5"/>
  </sheets>
  <definedNames>
    <definedName name="_xlnm.Print_Titles" localSheetId="2">'Admin Cost'!$1:$6</definedName>
    <definedName name="_xlnm.Print_Titles" localSheetId="1">'Direct Cost'!$1:$6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4" l="1"/>
  <c r="C26" i="4"/>
  <c r="K16" i="2"/>
  <c r="K24" i="2"/>
  <c r="C20" i="4" s="1"/>
  <c r="K23" i="2"/>
  <c r="C19" i="4" s="1"/>
  <c r="K22" i="2"/>
  <c r="C18" i="4" s="1"/>
  <c r="K28" i="3"/>
  <c r="C57" i="4" s="1"/>
  <c r="B31" i="1"/>
  <c r="A26" i="1"/>
  <c r="C26" i="1" s="1"/>
  <c r="B26" i="1"/>
  <c r="A27" i="1"/>
  <c r="C27" i="1" s="1"/>
  <c r="B27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C40" i="1" s="1"/>
  <c r="B39" i="1"/>
  <c r="A39" i="1"/>
  <c r="C39" i="1" s="1"/>
  <c r="B38" i="1"/>
  <c r="A38" i="1"/>
  <c r="B37" i="1"/>
  <c r="A37" i="1"/>
  <c r="B36" i="1"/>
  <c r="A36" i="1"/>
  <c r="C36" i="1" s="1"/>
  <c r="B35" i="1"/>
  <c r="A35" i="1"/>
  <c r="C35" i="1" s="1"/>
  <c r="B34" i="1"/>
  <c r="A34" i="1"/>
  <c r="B33" i="1"/>
  <c r="A33" i="1"/>
  <c r="C33" i="1" s="1"/>
  <c r="B32" i="1"/>
  <c r="A32" i="1"/>
  <c r="A31" i="1"/>
  <c r="B30" i="1"/>
  <c r="A30" i="1"/>
  <c r="B29" i="1"/>
  <c r="A29" i="1"/>
  <c r="B28" i="1"/>
  <c r="A28" i="1"/>
  <c r="B25" i="1"/>
  <c r="A25" i="1"/>
  <c r="B24" i="1"/>
  <c r="A24" i="1"/>
  <c r="C24" i="1" s="1"/>
  <c r="B23" i="1"/>
  <c r="A23" i="1"/>
  <c r="B22" i="1"/>
  <c r="A22" i="1"/>
  <c r="B21" i="1"/>
  <c r="A21" i="1"/>
  <c r="B20" i="1"/>
  <c r="A20" i="1"/>
  <c r="K29" i="2" l="1"/>
  <c r="C23" i="4" s="1"/>
  <c r="K7" i="3"/>
  <c r="C38" i="4" s="1"/>
  <c r="K8" i="3"/>
  <c r="C39" i="4" s="1"/>
  <c r="K9" i="3"/>
  <c r="C40" i="4" s="1"/>
  <c r="K10" i="3"/>
  <c r="C41" i="4" s="1"/>
  <c r="K11" i="3"/>
  <c r="C42" i="4" s="1"/>
  <c r="K12" i="3"/>
  <c r="C43" i="4" s="1"/>
  <c r="K13" i="3"/>
  <c r="C44" i="4" s="1"/>
  <c r="K14" i="3"/>
  <c r="C45" i="4" s="1"/>
  <c r="K15" i="3"/>
  <c r="C46" i="4" s="1"/>
  <c r="K16" i="3"/>
  <c r="C47" i="4" s="1"/>
  <c r="K17" i="3"/>
  <c r="C48" i="4" s="1"/>
  <c r="K18" i="3"/>
  <c r="C49" i="4" s="1"/>
  <c r="K22" i="3"/>
  <c r="K23" i="3"/>
  <c r="C52" i="4" s="1"/>
  <c r="K24" i="3"/>
  <c r="C53" i="4" s="1"/>
  <c r="K25" i="3"/>
  <c r="C54" i="4" s="1"/>
  <c r="K26" i="3"/>
  <c r="C55" i="4" s="1"/>
  <c r="K27" i="3"/>
  <c r="C56" i="4" s="1"/>
  <c r="K32" i="3"/>
  <c r="C59" i="4" s="1"/>
  <c r="K33" i="3"/>
  <c r="C60" i="4" s="1"/>
  <c r="K34" i="3"/>
  <c r="C61" i="4" s="1"/>
  <c r="K35" i="3"/>
  <c r="C62" i="4" s="1"/>
  <c r="K36" i="3"/>
  <c r="C63" i="4" s="1"/>
  <c r="K45" i="2"/>
  <c r="K41" i="2"/>
  <c r="C31" i="4" s="1"/>
  <c r="K40" i="2"/>
  <c r="C30" i="4" s="1"/>
  <c r="K36" i="2"/>
  <c r="C28" i="4" s="1"/>
  <c r="K35" i="2"/>
  <c r="C27" i="4" s="1"/>
  <c r="C30" i="1"/>
  <c r="K30" i="2"/>
  <c r="C24" i="4" s="1"/>
  <c r="K28" i="2"/>
  <c r="C22" i="4" s="1"/>
  <c r="K21" i="2"/>
  <c r="C17" i="4" s="1"/>
  <c r="K20" i="2"/>
  <c r="K15" i="2"/>
  <c r="C13" i="4" s="1"/>
  <c r="K14" i="2"/>
  <c r="C12" i="4" s="1"/>
  <c r="K13" i="2"/>
  <c r="C11" i="4" s="1"/>
  <c r="K12" i="2"/>
  <c r="C10" i="4" s="1"/>
  <c r="K11" i="2"/>
  <c r="C9" i="4" s="1"/>
  <c r="K10" i="2"/>
  <c r="C8" i="4" s="1"/>
  <c r="K9" i="2"/>
  <c r="C7" i="4" s="1"/>
  <c r="K8" i="2"/>
  <c r="C6" i="4" s="1"/>
  <c r="K7" i="2"/>
  <c r="C5" i="4" s="1"/>
  <c r="C32" i="1" l="1"/>
  <c r="C16" i="4"/>
  <c r="K46" i="2"/>
  <c r="C33" i="4"/>
  <c r="C38" i="1"/>
  <c r="C51" i="4"/>
  <c r="K19" i="3"/>
  <c r="K29" i="3"/>
  <c r="C29" i="1"/>
  <c r="K25" i="2"/>
  <c r="C23" i="1"/>
  <c r="C21" i="1"/>
  <c r="C25" i="1"/>
  <c r="C31" i="1"/>
  <c r="C55" i="1"/>
  <c r="C45" i="1"/>
  <c r="C44" i="1"/>
  <c r="C37" i="1"/>
  <c r="C41" i="1"/>
  <c r="C46" i="1"/>
  <c r="C34" i="1"/>
  <c r="C43" i="1"/>
  <c r="C42" i="1"/>
  <c r="C28" i="1"/>
  <c r="C53" i="1"/>
  <c r="C22" i="1"/>
  <c r="C57" i="1"/>
  <c r="C56" i="1"/>
  <c r="C54" i="1"/>
  <c r="C20" i="1"/>
  <c r="K42" i="2"/>
  <c r="K37" i="2"/>
  <c r="K31" i="2"/>
  <c r="K48" i="2" l="1"/>
  <c r="C34" i="4" s="1"/>
  <c r="C14" i="1" l="1"/>
  <c r="K43" i="3"/>
  <c r="K37" i="3" s="1"/>
  <c r="K38" i="3" l="1"/>
  <c r="K40" i="3" s="1"/>
  <c r="C64" i="4"/>
  <c r="C52" i="1"/>
  <c r="C58" i="1" s="1"/>
  <c r="D52" i="1" s="1"/>
  <c r="C47" i="1"/>
  <c r="C48" i="1" s="1"/>
  <c r="K44" i="3" l="1"/>
  <c r="C65" i="4"/>
  <c r="C67" i="4"/>
  <c r="C15" i="1"/>
  <c r="C16" i="1" s="1"/>
  <c r="D14" i="1" s="1"/>
  <c r="D54" i="1"/>
  <c r="D57" i="1"/>
  <c r="D53" i="1"/>
  <c r="D55" i="1"/>
  <c r="D56" i="1"/>
  <c r="D44" i="1"/>
  <c r="D21" i="1"/>
  <c r="D31" i="1"/>
  <c r="D24" i="1"/>
  <c r="D43" i="1"/>
  <c r="D38" i="1"/>
  <c r="D28" i="1"/>
  <c r="D35" i="1"/>
  <c r="D45" i="1"/>
  <c r="D32" i="1"/>
  <c r="D34" i="1"/>
  <c r="D22" i="1"/>
  <c r="D23" i="1"/>
  <c r="D37" i="1"/>
  <c r="D46" i="1"/>
  <c r="D40" i="1"/>
  <c r="D30" i="1"/>
  <c r="D29" i="1"/>
  <c r="D41" i="1"/>
  <c r="D25" i="1"/>
  <c r="D26" i="1"/>
  <c r="D27" i="1"/>
  <c r="D33" i="1"/>
  <c r="D39" i="1"/>
  <c r="D36" i="1"/>
  <c r="D42" i="1"/>
  <c r="D20" i="1"/>
  <c r="D47" i="1"/>
  <c r="D58" i="1" l="1"/>
  <c r="D48" i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Bilal Abbassi</author>
  </authors>
  <commentList>
    <comment ref="K42" authorId="0" shapeId="0" xr:uid="{1B524352-B3BD-4ED3-9EAE-30DD1D39CCE1}">
      <text>
        <r>
          <rPr>
            <b/>
            <sz val="9"/>
            <color indexed="81"/>
            <rFont val="Tahoma"/>
            <charset val="1"/>
          </rPr>
          <t>Bilal Abbassi:</t>
        </r>
        <r>
          <rPr>
            <sz val="9"/>
            <color indexed="81"/>
            <rFont val="Tahoma"/>
            <charset val="1"/>
          </rPr>
          <t xml:space="preserve">
JOD is pegged to the USD at 1 USD = 0.709 JOD (Central Bank of Jordan), i.e. 1 JOD ≈ 1.41 USD. Editable assumption — update if your booking rate differs.</t>
        </r>
      </text>
    </comment>
  </commentList>
</comments>
</file>

<file path=xl/sharedStrings.xml><?xml version="1.0" encoding="utf-8"?>
<sst xmlns="http://schemas.openxmlformats.org/spreadsheetml/2006/main" count="626" uniqueCount="349">
  <si>
    <t>PROJECT BUDGET TEMPLATE</t>
  </si>
  <si>
    <t>Project Title</t>
  </si>
  <si>
    <t>Hands That Heal: Certifying Gaza's Next Generation of Prosthetists</t>
  </si>
  <si>
    <t>Program Summary</t>
  </si>
  <si>
    <t>Capacity building of 16 P&amp;O technicians + integrated prosthetic fitting and holistic care (rehabilitation, MHPSS, nutrition, transport) for 300 amputees in Gaza</t>
  </si>
  <si>
    <t>Project Duration</t>
  </si>
  <si>
    <t>18 Months</t>
  </si>
  <si>
    <t>Locations</t>
  </si>
  <si>
    <t>Gaza (field implementation) &amp; Amman (technical and administrative support)</t>
  </si>
  <si>
    <t>Bilal Abbassi, Programs Director</t>
  </si>
  <si>
    <t>Organization</t>
  </si>
  <si>
    <t>Currency</t>
  </si>
  <si>
    <t>USD</t>
  </si>
  <si>
    <t>BUDGET SUMMARY BY CATEGORY</t>
  </si>
  <si>
    <t>#</t>
  </si>
  <si>
    <t>Budget Category</t>
  </si>
  <si>
    <t>Amount (USD)</t>
  </si>
  <si>
    <t>% of Total</t>
  </si>
  <si>
    <t>1</t>
  </si>
  <si>
    <t>Direct Cost (Gaza field personnel, specialists, training, patient care, equipment, visibility)</t>
  </si>
  <si>
    <t>2</t>
  </si>
  <si>
    <t>Admin / Indirect Cost (Amman support functions)</t>
  </si>
  <si>
    <t>TOTAL PROJECT BUDGET</t>
  </si>
  <si>
    <t>Project Duration:</t>
  </si>
  <si>
    <t>Prepared by:</t>
  </si>
  <si>
    <t>Location:</t>
  </si>
  <si>
    <t>Gaza (field) &amp; Amman (support)</t>
  </si>
  <si>
    <t>Currency:</t>
  </si>
  <si>
    <t>Code</t>
  </si>
  <si>
    <t>Location</t>
  </si>
  <si>
    <t>Position / Line Item</t>
  </si>
  <si>
    <t>Unit</t>
  </si>
  <si>
    <t># of Units</t>
  </si>
  <si>
    <t>Frequency
(Months)</t>
  </si>
  <si>
    <t>Unit Cost
(USD)</t>
  </si>
  <si>
    <t>LoE %</t>
  </si>
  <si>
    <t>Total (USD)</t>
  </si>
  <si>
    <t>Budget Narrative</t>
  </si>
  <si>
    <t>A. Personnel — Gaza Field Team (100% Direct Cost)</t>
  </si>
  <si>
    <t>D-01</t>
  </si>
  <si>
    <t>Gaza</t>
  </si>
  <si>
    <t>Person</t>
  </si>
  <si>
    <t>D-02</t>
  </si>
  <si>
    <t>Program Officer — Rehabilitation</t>
  </si>
  <si>
    <t>D-03</t>
  </si>
  <si>
    <t>Program Officer — MHPSS</t>
  </si>
  <si>
    <t>D-04</t>
  </si>
  <si>
    <t>D-05</t>
  </si>
  <si>
    <t>D-06</t>
  </si>
  <si>
    <t>MEAL Officer</t>
  </si>
  <si>
    <t>D-07</t>
  </si>
  <si>
    <t>Photographer / Visibility Officer</t>
  </si>
  <si>
    <t>D-08</t>
  </si>
  <si>
    <t>Security Guard (x2)</t>
  </si>
  <si>
    <t>D-09</t>
  </si>
  <si>
    <t>Cleaner (x2)</t>
  </si>
  <si>
    <t>Subtotal — Personnel — Gaza Field Team (100% Direct Cost)</t>
  </si>
  <si>
    <t>B. Specialist &amp; Technical Personnel (Direct Cost)</t>
  </si>
  <si>
    <t>D-10</t>
  </si>
  <si>
    <t>Amman</t>
  </si>
  <si>
    <t>P&amp;O Specialist Consultant (Academic &amp; Clinical Oversight)</t>
  </si>
  <si>
    <t>Lump</t>
  </si>
  <si>
    <t>D-13</t>
  </si>
  <si>
    <t>Gaza &amp; Amman</t>
  </si>
  <si>
    <t>Gaza University &amp; University of Jordan Course Fees</t>
  </si>
  <si>
    <t>Subtotal — Specialist &amp; Technical Personnel (Direct Cost)</t>
  </si>
  <si>
    <t>C. Capacity Building &amp; Training Costs (Direct Cost)</t>
  </si>
  <si>
    <t>D-15</t>
  </si>
  <si>
    <t>Subtotal — Capacity Building &amp; Training Costs (Direct Cost)</t>
  </si>
  <si>
    <t>D. Prosthetic Fitting &amp; Integrated Patient Care — 300 Cases (Direct Cost)</t>
  </si>
  <si>
    <t>D-16</t>
  </si>
  <si>
    <t>Prosthetic Components &amp; Fabrication Materials (300 cases)</t>
  </si>
  <si>
    <t>Lum</t>
  </si>
  <si>
    <t>D-17</t>
  </si>
  <si>
    <t>D-18</t>
  </si>
  <si>
    <t>Patient Transport &amp; Accompaniment (300 patients)</t>
  </si>
  <si>
    <t>Subtotal — Prosthetic Fitting &amp; Integrated Patient Care — 300 Cases (Direct Cost)</t>
  </si>
  <si>
    <t>E. Workshop Equipment &amp; Infrastructure (Direct Cost)</t>
  </si>
  <si>
    <t>D-19</t>
  </si>
  <si>
    <t>P&amp;O Workshop Machinery &amp; Fabrication Equipment</t>
  </si>
  <si>
    <t>D-20</t>
  </si>
  <si>
    <t>Rehabilitation &amp; MHPSS Zone Furnishing (Zone 10)</t>
  </si>
  <si>
    <t>Subtotal — Workshop Equipment &amp; Infrastructure (Direct Cost)</t>
  </si>
  <si>
    <t>D-21</t>
  </si>
  <si>
    <t>Communication &amp; Visibility Materials</t>
  </si>
  <si>
    <t>D-22</t>
  </si>
  <si>
    <t>TOTAL DIRECT COST</t>
  </si>
  <si>
    <t>A-01</t>
  </si>
  <si>
    <t>Executive Director</t>
  </si>
  <si>
    <t>A-02</t>
  </si>
  <si>
    <t>Program Director</t>
  </si>
  <si>
    <t>A-03</t>
  </si>
  <si>
    <t>Grants &amp; Compliance Officer</t>
  </si>
  <si>
    <t>A-04</t>
  </si>
  <si>
    <t>Finance &amp; Support Function Director</t>
  </si>
  <si>
    <t>A-05</t>
  </si>
  <si>
    <t>Supply Chain / Logistics Officer</t>
  </si>
  <si>
    <t>A-06</t>
  </si>
  <si>
    <t>HR &amp; Admin Officer</t>
  </si>
  <si>
    <t>A-07</t>
  </si>
  <si>
    <t>Communications Team Leader</t>
  </si>
  <si>
    <t>A-08</t>
  </si>
  <si>
    <t>Office Running Costs (rent share, utilities, stationery)</t>
  </si>
  <si>
    <t>Months</t>
  </si>
  <si>
    <t>A-09</t>
  </si>
  <si>
    <t>IT Equipment &amp; Beneficiary Data Platform / Cyber Security</t>
  </si>
  <si>
    <t>A-10</t>
  </si>
  <si>
    <t>Health Insurance (staff share)</t>
  </si>
  <si>
    <t>A-11</t>
  </si>
  <si>
    <t>Social Security Contributions (employer share)</t>
  </si>
  <si>
    <t>A-12</t>
  </si>
  <si>
    <t>Audit, Legal &amp; Compliance Fees</t>
  </si>
  <si>
    <t>TOTAL ADMIN / INDIRECT COST</t>
  </si>
  <si>
    <t>Indirect Cost as % of Direct Cost:</t>
  </si>
  <si>
    <t>% Allocated</t>
  </si>
  <si>
    <t>M&amp;E / Reporting Officer (HQ oversight)</t>
  </si>
  <si>
    <t>IT / Database Support Officer</t>
  </si>
  <si>
    <t>Subtotal — Amman Support Personnel (Indirect / Admin)</t>
  </si>
  <si>
    <t>B. Office, IT &amp; Operational Costs  (Indirect / Admin)</t>
  </si>
  <si>
    <t>B-01</t>
  </si>
  <si>
    <t>B-02</t>
  </si>
  <si>
    <t>B-03</t>
  </si>
  <si>
    <t>Software Licenses &amp; Subscriptions (accounting, MEAL, comms)</t>
  </si>
  <si>
    <t>B-04</t>
  </si>
  <si>
    <t>Communications (internet, telephone, postage)</t>
  </si>
  <si>
    <t>B-05</t>
  </si>
  <si>
    <t>B-06</t>
  </si>
  <si>
    <t>Subtotal — Office, IT &amp; Operational Costs (Indirect / Admin)</t>
  </si>
  <si>
    <t>C. Statutory, Compliance, Risk &amp; Contingency  (Indirect / Admin)</t>
  </si>
  <si>
    <t>C-01</t>
  </si>
  <si>
    <t>C-02</t>
  </si>
  <si>
    <t>Bank Charges &amp; International Transfer Fees</t>
  </si>
  <si>
    <t>C-03</t>
  </si>
  <si>
    <t>Recruitment &amp; Onboarding</t>
  </si>
  <si>
    <t>C-04</t>
  </si>
  <si>
    <t>Staff Training &amp; Professional Development</t>
  </si>
  <si>
    <t>Mandatory staff training (safeguarding, PSEA, security, finance) and professional development. ESTIMATE.</t>
  </si>
  <si>
    <t>C-05</t>
  </si>
  <si>
    <t>Equipment Depreciation &amp; Asset Insurance</t>
  </si>
  <si>
    <t>C-06</t>
  </si>
  <si>
    <t>Amman &amp; Field</t>
  </si>
  <si>
    <t>Contingency &amp; Indirect Cost Reserve (to 15% ceiling)</t>
  </si>
  <si>
    <t>Subtotal — Statutory, Compliance, Risk &amp; Contingency (Indirect / Admin)</t>
  </si>
  <si>
    <t>Indirect Cost Ceiling (% of Direct Cost):</t>
  </si>
  <si>
    <t>F. Visibility &amp; Communications (Direct Cost)</t>
  </si>
  <si>
    <t>Subtotal — Visibility &amp; Communications (Direct Cost)</t>
  </si>
  <si>
    <t>A. Amman Support Personnel  (Indirect / Admin — salaries converted JOD → USD, % LoE charged)</t>
  </si>
  <si>
    <t>Content Creator</t>
  </si>
  <si>
    <t>Video Editor</t>
  </si>
  <si>
    <t>Driver</t>
  </si>
  <si>
    <t>International wire transfer and bank charges for fund disbursement to Gaza. ESTIMATE.</t>
  </si>
  <si>
    <t>Exchange rate applied to Amman salaries  (1 JOD = X USD):</t>
  </si>
  <si>
    <t>Trainee Incentives — Cohort 1 (8 trainees, 17 months)</t>
  </si>
  <si>
    <t>D-14b</t>
  </si>
  <si>
    <t>Trainee Incentives — Cohort 2 (8 trainees, 12 months)</t>
  </si>
  <si>
    <t>D-14a</t>
  </si>
  <si>
    <t>Budget Line</t>
  </si>
  <si>
    <t>How it is Calculated</t>
  </si>
  <si>
    <t>DIRECT COST</t>
  </si>
  <si>
    <t>1 person × 18 months × $3,000/mo × 100% LoE</t>
  </si>
  <si>
    <t>1 × 18 months × $2,000/mo × 100%</t>
  </si>
  <si>
    <t>1 × 18 months × $1,100/mo × 100%</t>
  </si>
  <si>
    <t>1 × 18 months × $1,200/mo × 100%</t>
  </si>
  <si>
    <t>2 guards × 18 months × $600/mo × 100%</t>
  </si>
  <si>
    <t>2 cleaners × 18 months × $600/mo × 100%</t>
  </si>
  <si>
    <t>Lump sum = $15,087 (contract fee)</t>
  </si>
  <si>
    <t>16 trainees × $3,976.20 course fee</t>
  </si>
  <si>
    <t>8 trainees × 17 months × $400/mo</t>
  </si>
  <si>
    <t>8 trainees × 12 months × $400/mo</t>
  </si>
  <si>
    <t>Lump sum = $198,000 (Annex 1)</t>
  </si>
  <si>
    <t>Lump sum = $25,000</t>
  </si>
  <si>
    <t>Lump sum = $30,000</t>
  </si>
  <si>
    <t>Subtotal — Direct Cost</t>
  </si>
  <si>
    <t>ADMIN / INDIRECT COST</t>
  </si>
  <si>
    <t>B. Office, IT &amp; Operational Costs (Indirect / Admin)</t>
  </si>
  <si>
    <t>$30,000 × 40% allocated</t>
  </si>
  <si>
    <t>18 months × $1,000 × 50% allocated</t>
  </si>
  <si>
    <t>$12,000 × 40% allocated</t>
  </si>
  <si>
    <t>$30,000 × 35% allocated</t>
  </si>
  <si>
    <t>C. Statutory, Compliance, Risk &amp; Contingency (Indirect / Admin)</t>
  </si>
  <si>
    <t>Lump sum = $7,500</t>
  </si>
  <si>
    <t>Subtotal — Admin / Indirect Cost</t>
  </si>
  <si>
    <t>Activity Code</t>
  </si>
  <si>
    <t>Account</t>
  </si>
  <si>
    <t>S</t>
  </si>
  <si>
    <t>R</t>
  </si>
  <si>
    <t>M</t>
  </si>
  <si>
    <t xml:space="preserve">Accounts Number </t>
  </si>
  <si>
    <t>Management Field Staff</t>
  </si>
  <si>
    <t>Head Office staff</t>
  </si>
  <si>
    <t xml:space="preserve">Support Field staff </t>
  </si>
  <si>
    <t xml:space="preserve">Program Field Staff </t>
  </si>
  <si>
    <t>Staff Transportation</t>
  </si>
  <si>
    <t>Ben Transportation</t>
  </si>
  <si>
    <t>Car Rent</t>
  </si>
  <si>
    <t>Fuel for generator or Car</t>
  </si>
  <si>
    <t xml:space="preserve">IT Equipment </t>
  </si>
  <si>
    <t>Prosthetics components</t>
  </si>
  <si>
    <t xml:space="preserve">Project / Center Equipments </t>
  </si>
  <si>
    <t>Media Equipments</t>
  </si>
  <si>
    <t xml:space="preserve">Consultant </t>
  </si>
  <si>
    <t>Daily worker</t>
  </si>
  <si>
    <t xml:space="preserve">Training for staff </t>
  </si>
  <si>
    <t>International Travel</t>
  </si>
  <si>
    <t xml:space="preserve">Partnership </t>
  </si>
  <si>
    <t xml:space="preserve">Subscription </t>
  </si>
  <si>
    <t xml:space="preserve">Office Rent </t>
  </si>
  <si>
    <t>Stationary</t>
  </si>
  <si>
    <t>Workshops / Seminars / Team Building</t>
  </si>
  <si>
    <t>Legal Fees</t>
  </si>
  <si>
    <t>Bank Fees</t>
  </si>
  <si>
    <t xml:space="preserve">Insurance </t>
  </si>
  <si>
    <t>Telecommunication and Internet Cost</t>
  </si>
  <si>
    <t xml:space="preserve">Location </t>
  </si>
  <si>
    <t>Sudan</t>
  </si>
  <si>
    <t>Syria</t>
  </si>
  <si>
    <t>Lebanon</t>
  </si>
  <si>
    <t>West Bank</t>
  </si>
  <si>
    <t xml:space="preserve">Activity </t>
  </si>
  <si>
    <t>Support</t>
  </si>
  <si>
    <t>Rehabilitation</t>
  </si>
  <si>
    <t>MHPSS</t>
  </si>
  <si>
    <t>Nutrition</t>
  </si>
  <si>
    <t>N</t>
  </si>
  <si>
    <t>P&amp;O</t>
  </si>
  <si>
    <t>P</t>
  </si>
  <si>
    <t>PM</t>
  </si>
  <si>
    <t>S02</t>
  </si>
  <si>
    <t>R02</t>
  </si>
  <si>
    <t>M02</t>
  </si>
  <si>
    <t>P02</t>
  </si>
  <si>
    <t>N02</t>
  </si>
  <si>
    <t>S01</t>
  </si>
  <si>
    <t>Account No.</t>
  </si>
  <si>
    <t xml:space="preserve">Program Support / Management </t>
  </si>
  <si>
    <t>PM02</t>
  </si>
  <si>
    <t xml:space="preserve">Nutrition and food </t>
  </si>
  <si>
    <t xml:space="preserve"> Certified Expatriate Specialist Trainer and P&amp;O (6 Specialist Trainers)</t>
  </si>
  <si>
    <t>Month</t>
  </si>
  <si>
    <t>PM01</t>
  </si>
  <si>
    <t xml:space="preserve">Social Security </t>
  </si>
  <si>
    <t>Contingency</t>
  </si>
  <si>
    <t>Hands That Heal: Certifying Gaza's Next Generation of Prosthetists , Capacity Building &amp; 300-Case Integrated Prosthetic Care Program</t>
  </si>
  <si>
    <t xml:space="preserve">Project Code </t>
  </si>
  <si>
    <t>RHS202600XXX</t>
  </si>
  <si>
    <t>Restoring Hope (RHS)</t>
  </si>
  <si>
    <t>BUDGET SUMMARY BY ACCOUNT</t>
  </si>
  <si>
    <t>Account Name</t>
  </si>
  <si>
    <t>TOTAL</t>
  </si>
  <si>
    <t>BUDGET SUMMARY BY ACTIVITY</t>
  </si>
  <si>
    <t>Activity</t>
  </si>
  <si>
    <t>Program Support  / Management</t>
  </si>
  <si>
    <t>Project Manager</t>
  </si>
  <si>
    <t>Nutritional Support (300 HH)</t>
  </si>
  <si>
    <t>Logistic Officer</t>
  </si>
  <si>
    <t>B-07</t>
  </si>
  <si>
    <t>Center Rent (Gaza)</t>
  </si>
  <si>
    <t>Mobile Team Member — MHPSS (x6)</t>
  </si>
  <si>
    <t>Mobile Team Member — Rehabilitation (x6)</t>
  </si>
  <si>
    <t>P01</t>
  </si>
  <si>
    <t>P&amp;O Specialist (Amman-based, supporting Gaza)</t>
  </si>
  <si>
    <t>D-23</t>
  </si>
  <si>
    <t>R01</t>
  </si>
  <si>
    <t>Rehabilitation Specialist (Amman-based, supporting Gaza)</t>
  </si>
  <si>
    <t>D-24</t>
  </si>
  <si>
    <t>M01</t>
  </si>
  <si>
    <t>MHPSS Specialist (Amman-based, supporting Gaza)</t>
  </si>
  <si>
    <t>D-25</t>
  </si>
  <si>
    <t>Staff</t>
  </si>
  <si>
    <t xml:space="preserve">Logistic Officer </t>
  </si>
  <si>
    <t>Organizational support functions allocated to the Gaza 300-Case Integrated Prosthetic Care &amp; Capacity Building Program</t>
  </si>
  <si>
    <t>Overall leadership, donor compliance, coordination of the mobile teams and reporting for the 300-case program. Full-time, dedicated to the project.</t>
  </si>
  <si>
    <t>Supervises the Rehabilitation stream of the mobile teams and physiotherapy follow-up for all 300 patients.</t>
  </si>
  <si>
    <t>Supervises the MHPSS stream; oversees individual counselling and group therapy protocols for all 300 patients.</t>
  </si>
  <si>
    <t>6 staff × 18 months × $1,100/mo × 100%</t>
  </si>
  <si>
    <t>Six community-based Rehabilitation workers delivering physiotherapy and mobility follow-up across Gaza.</t>
  </si>
  <si>
    <t>Six community-based MHPSS workers delivering individual and group psychosocial support across Gaza.</t>
  </si>
  <si>
    <t>Manages monitoring, patient and training data, the digital case-management dashboard, and logframe reporting (Annex 2).</t>
  </si>
  <si>
    <t>Documents program activities and patient journeys (with safeguarding protocols) and produces visibility material.</t>
  </si>
  <si>
    <t>Provides site security for the P&amp;O workshop and clinical facility (two guards).</t>
  </si>
  <si>
    <t>Maintains hygiene and infection-control standards across the workshop and clinical zones (two cleaners).</t>
  </si>
  <si>
    <t>Gaza-based logistics and procurement support for the project (moved from Admin to Direct).</t>
  </si>
  <si>
    <t>Senior P&amp;O consultant providing curriculum review, academic oversight, competency-framework validation and trainer supervision (Annex 3 TOR).</t>
  </si>
  <si>
    <t>Joint academic delivery fee per trainee (16) covering Gaza University and University of Jordan P&amp;O courses, leading to an accredited certificate.</t>
  </si>
  <si>
    <t>1 × 18 months × $3,000/mo × 30% LoE</t>
  </si>
  <si>
    <t>Amman-based P&amp;O specialist providing technical support and supervision to the Gaza team; charged at 30%.</t>
  </si>
  <si>
    <t>Amman-based rehabilitation specialist supporting the Gaza mobile teams; charged at 30%.</t>
  </si>
  <si>
    <t>Amman-based MHPSS specialist supporting the Gaza mobile teams; charged at 30%.</t>
  </si>
  <si>
    <t>Monthly incentive for the first cohort of 8 P&amp;O trainees for the 17 months enrolled, given the economic hardship in Gaza.</t>
  </si>
  <si>
    <t>Monthly incentive for the second cohort of 8 P&amp;O trainees for the 12 months enrolled.</t>
  </si>
  <si>
    <t>Certified Expatriate Specialist Trainer and P&amp;O (6 Specialist Trainers)</t>
  </si>
  <si>
    <t>8 trainers × 3 months × $7,000/mo</t>
  </si>
  <si>
    <t>Honoraria for specialist trainers delivering curriculum, hands-on training and patient-fitting supervision.</t>
  </si>
  <si>
    <t>Lump sum = $500,000 (itemized in Annex 6)</t>
  </si>
  <si>
    <t>Full component and raw-material cost to fabricate and fit 300 lower-limb prosthetic devices; see Annex 6.</t>
  </si>
  <si>
    <t>300 HH × 3 months × $180 each</t>
  </si>
  <si>
    <t>Nutritional assistance package per household to support recovery during fitting and rehabilitation. ESTIMATE.</t>
  </si>
  <si>
    <t>12 months × $3,750/mo (transport pool)</t>
  </si>
  <si>
    <t>Transportation for fitting appointments and follow-up visits for all 300 patients. ESTIMATE.</t>
  </si>
  <si>
    <t>Machinery and fabrication equipment across the 10 workshop zones; see Annex 1.</t>
  </si>
  <si>
    <t>Physiotherapy plinths, exercise equipment, soundproofed MHPSS room and nutritional assessment station. ESTIMATE.</t>
  </si>
  <si>
    <t>Donor visibility and communication materials, signage and beneficiary story documentation; also covers the digital case-management / M&amp;E platform. ESTIMATE.</t>
  </si>
  <si>
    <t>A. Amman Support Personnel (Indirect / Admin — % LoE charged)</t>
  </si>
  <si>
    <t>$5,640/mo × 18 months × 12% LoE</t>
  </si>
  <si>
    <t>Institutional leadership and accountability for the program; charged at 12% LoE.</t>
  </si>
  <si>
    <t>$4,935/mo × 18 × 18%</t>
  </si>
  <si>
    <t>Strategic oversight, donor compliance and inter-departmental coordination; 18% LoE.</t>
  </si>
  <si>
    <t>$2,115/mo × 18 × 22%</t>
  </si>
  <si>
    <t>Grant compliance, narrative and financial reporting, donor communication; 22% LoE.</t>
  </si>
  <si>
    <t>$4,935/mo × 18 × 20%</t>
  </si>
  <si>
    <t>Financial management, budget monitoring and procurement oversight; 20% LoE.</t>
  </si>
  <si>
    <t>$1,200/mo × 18 × 28%</t>
  </si>
  <si>
    <t>Procurement and logistics of prosthetic components and equipment shipments to Gaza; 28% LoE.</t>
  </si>
  <si>
    <t>$1,269/mo × 18 × 22%</t>
  </si>
  <si>
    <t>Administrative, HR and logistical support to the project team; 22% LoE. ESTIMATE.</t>
  </si>
  <si>
    <t>$1,762.50/mo × 18 × 18%</t>
  </si>
  <si>
    <t>Oversees communication, visibility and donor-facing content; 18% LoE.</t>
  </si>
  <si>
    <t>$1,200/mo × 18 × 18%</t>
  </si>
  <si>
    <t>HQ-level monitoring, evaluation and reporting oversight; 18% LoE. ESTIMATE.</t>
  </si>
  <si>
    <t>$2,200/mo × 18 × 18%</t>
  </si>
  <si>
    <t>Maintains the beneficiary data platform and provides IT / database support; 18% LoE. ESTIMATE.</t>
  </si>
  <si>
    <t>$1,000/mo × 18 × 35%</t>
  </si>
  <si>
    <t>Amman-based content creator producing digital / social-media content and donor-facing material; 35% LoE. ESTIMATE.</t>
  </si>
  <si>
    <t>$1,300/mo × 18 × 28%</t>
  </si>
  <si>
    <t>Amman-based video editor producing visibility and documentation videos; 28% LoE. ESTIMATE.</t>
  </si>
  <si>
    <t>$634.50/mo × 18 × 35%</t>
  </si>
  <si>
    <t>Amman-based driver supporting logistics and staff transport; 35% LoE. ESTIMATE.</t>
  </si>
  <si>
    <t>18 months × $3,000 × 40% allocated</t>
  </si>
  <si>
    <t>Share of Amman office operating costs attributable to project coordination; 40%. ESTIMATE.</t>
  </si>
  <si>
    <t>Beneficiary management platform, cyber-security infrastructure and IT equipment; 40%. ESTIMATE.</t>
  </si>
  <si>
    <t>Accounting, MEAL and communications software licenses and subscriptions; 50%. ESTIMATE.</t>
  </si>
  <si>
    <t>22 staff × 18 months × $20 each × 100%</t>
  </si>
  <si>
    <t>Internet, telephone and postage for project staff; per-staff monthly allowance. ESTIMATE.</t>
  </si>
  <si>
    <t>Share of organizational health insurance attributable to project staff; 40%. ESTIMATE.</t>
  </si>
  <si>
    <t>Employer social security obligations for project staff, per Jordanian labor law; 35%. ESTIMATE.</t>
  </si>
  <si>
    <t>18 months × $15,000/mo × 20% allocated</t>
  </si>
  <si>
    <t>Rent for the Gaza rehabilitation / P&amp;O center ($180,000/yr base); charged at 20%. ESTIMATE.</t>
  </si>
  <si>
    <t>Lump sum = $18,000</t>
  </si>
  <si>
    <t>External audit, legal review and donor compliance support. ESTIMATE.</t>
  </si>
  <si>
    <t>Lump sum = $11,000</t>
  </si>
  <si>
    <t>Not currently allocated (0%)</t>
  </si>
  <si>
    <t>Recruitment, vetting and onboarding of staff — currently budgeted at 0%.</t>
  </si>
  <si>
    <t>Depreciation and insurance of shared assets — currently budgeted at 0%.</t>
  </si>
  <si>
    <t>15% × Direct Cost ceiling − itemized indirect costs</t>
  </si>
  <si>
    <t>Programme contingency / indirect cost reserve topping itemized indirect costs up to the 15% of Direct Cost ceiling.</t>
  </si>
  <si>
    <t xml:space="preserve">RESTORING HOPE </t>
  </si>
  <si>
    <t>RESTORING HOPE - Project Budget: Direct Costs</t>
  </si>
  <si>
    <t>RESTORING HOPE —  Project Budget: Admin / Indirect Costs</t>
  </si>
  <si>
    <t>RESTORING HOPE —  Budget Narrative &amp; Calculation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</si>
</sst>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\$#,##0.00"/>
    <numFmt numFmtId="166" formatCode="0.0%"/>
    <numFmt numFmtId="167" formatCode="&quot;$&quot;#,##0.00;\(&quot;$&quot;#,##0.00\);&quot;-&quot;"/>
    <numFmt numFmtId="168" formatCode="&quot;$&quot;#,##0.00"/>
  </numFmts>
  <fonts count="38" x14ac:knownFonts="1">
    <font>
      <sz val="11"/>
      <color theme="1"/>
      <name val="Calibri"/>
      <family val="2"/>
      <charset val="1"/>
    </font>
    <font>
      <b/>
      <sz val="20"/>
      <color rgb="FFD31245"/>
      <name val="Franklin Gothic Book"/>
      <charset val="1"/>
    </font>
    <font>
      <b/>
      <sz val="10"/>
      <color rgb="FF3A3A3A"/>
      <name val="Franklin Gothic Book"/>
      <charset val="1"/>
    </font>
    <font>
      <sz val="10"/>
      <color rgb="FF3A3A3A"/>
      <name val="Franklin Gothic Book"/>
      <charset val="1"/>
    </font>
    <font>
      <b/>
      <sz val="12"/>
      <color rgb="FFFFFFFF"/>
      <name val="Franklin Gothic Book"/>
      <charset val="1"/>
    </font>
    <font>
      <b/>
      <sz val="11"/>
      <color rgb="FFFFFFFF"/>
      <name val="Franklin Gothic Book"/>
      <charset val="1"/>
    </font>
    <font>
      <b/>
      <sz val="16"/>
      <color rgb="FFFFFFFF"/>
      <name val="Franklin Gothic Book"/>
      <charset val="1"/>
    </font>
    <font>
      <i/>
      <sz val="10"/>
      <color rgb="FF3A3A3A"/>
      <name val="Franklin Gothic Book"/>
      <charset val="1"/>
    </font>
    <font>
      <b/>
      <sz val="10"/>
      <name val="Franklin Gothic Book"/>
      <charset val="1"/>
    </font>
    <font>
      <sz val="10"/>
      <name val="Franklin Gothic Book"/>
      <charset val="1"/>
    </font>
    <font>
      <b/>
      <sz val="11"/>
      <color rgb="FFD31245"/>
      <name val="Franklin Gothic Book"/>
      <charset val="1"/>
    </font>
    <font>
      <b/>
      <sz val="11"/>
      <color rgb="FF3A3A3A"/>
      <name val="Franklin Gothic Book"/>
      <charset val="1"/>
    </font>
    <font>
      <sz val="10"/>
      <color theme="1"/>
      <name val="Franklin Gothic Book"/>
    </font>
    <font>
      <sz val="10"/>
      <color rgb="FF3A3A3A"/>
      <name val="Franklin Gothic Book"/>
    </font>
    <font>
      <b/>
      <sz val="11"/>
      <color rgb="FF3A3A3A"/>
      <name val="Franklin Gothic Book"/>
    </font>
    <font>
      <b/>
      <sz val="11"/>
      <color rgb="FFFFFFFF"/>
      <name val="Franklin Gothic Book"/>
    </font>
    <font>
      <b/>
      <sz val="11"/>
      <color rgb="FFD31245"/>
      <name val="Franklin Gothic Book"/>
    </font>
    <font>
      <b/>
      <sz val="12"/>
      <color rgb="FFFFFFFF"/>
      <name val="Franklin Gothic Book"/>
    </font>
    <font>
      <b/>
      <i/>
      <sz val="10"/>
      <color rgb="FF000000"/>
      <name val="Franklin Gothic Book"/>
    </font>
    <font>
      <b/>
      <sz val="10"/>
      <color rgb="FF1F4E9C"/>
      <name val="Franklin Gothic Book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rgb="FF1E7B34"/>
      <name val="Franklin Gothic Book"/>
    </font>
    <font>
      <b/>
      <sz val="10"/>
      <color rgb="FFFFFFFF"/>
      <name val="Franklin Gothic Book"/>
    </font>
    <font>
      <b/>
      <sz val="15"/>
      <color rgb="FFFFFFFF"/>
      <name val="Franklin Gothic Book"/>
    </font>
    <font>
      <b/>
      <sz val="10"/>
      <color rgb="FF8A0C2E"/>
      <name val="Franklin Gothic Book"/>
    </font>
    <font>
      <b/>
      <sz val="10"/>
      <color theme="1"/>
      <name val="Franklin Gothic Book"/>
    </font>
    <font>
      <sz val="10"/>
      <color rgb="FF008000"/>
      <name val="Franklin Gothic Book"/>
    </font>
    <font>
      <b/>
      <sz val="10"/>
      <color rgb="FF008000"/>
      <name val="Franklin Gothic Book"/>
    </font>
    <font>
      <b/>
      <sz val="10"/>
      <color rgb="FF000000"/>
      <name val="Franklin Gothic Book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b/>
      <sz val="12"/>
      <color rgb="FFFFFFFF"/>
      <name val="Franklin Gothic Book"/>
      <family val="2"/>
    </font>
    <font>
      <b/>
      <sz val="11"/>
      <color rgb="FFFFFFFF"/>
      <name val="Franklin Gothic Book"/>
      <family val="2"/>
    </font>
    <font>
      <i/>
      <sz val="10"/>
      <color rgb="FF3A3A3A"/>
      <name val="Franklin Gothic Book"/>
      <family val="2"/>
    </font>
    <font>
      <b/>
      <sz val="16"/>
      <color rgb="FFFFFFFF"/>
      <name val="Franklin Gothic Book"/>
      <family val="2"/>
    </font>
    <font>
      <b/>
      <sz val="10"/>
      <color rgb="FF3A3A3A"/>
      <name val="Franklin Gothic Book"/>
      <family val="2"/>
    </font>
    <font>
      <sz val="10"/>
      <color rgb="FF3A3A3A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rgb="FFD31245"/>
        <bgColor rgb="FF993366"/>
      </patternFill>
    </fill>
    <fill>
      <patternFill patternType="solid">
        <fgColor rgb="FFF2F2F2"/>
        <bgColor rgb="FFEDEDED"/>
      </patternFill>
    </fill>
    <fill>
      <patternFill patternType="solid">
        <fgColor rgb="FFF8B2C4"/>
        <bgColor rgb="FFFFCC99"/>
      </patternFill>
    </fill>
    <fill>
      <patternFill patternType="solid">
        <fgColor rgb="FFEDEDED"/>
        <bgColor rgb="FFF2F2F2"/>
      </patternFill>
    </fill>
    <fill>
      <patternFill patternType="solid">
        <fgColor rgb="FFD31245"/>
        <bgColor indexed="64"/>
      </patternFill>
    </fill>
    <fill>
      <patternFill patternType="solid">
        <fgColor rgb="FFF8B2C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A0C2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/>
    <xf numFmtId="165" fontId="4" fillId="2" borderId="1" xfId="0" applyNumberFormat="1" applyFont="1" applyFill="1" applyBorder="1"/>
    <xf numFmtId="9" fontId="4" fillId="2" borderId="1" xfId="0" applyNumberFormat="1" applyFont="1" applyFill="1" applyBorder="1"/>
    <xf numFmtId="0" fontId="8" fillId="0" borderId="0" xfId="0" applyFont="1"/>
    <xf numFmtId="0" fontId="9" fillId="0" borderId="0" xfId="0" applyFont="1"/>
    <xf numFmtId="165" fontId="11" fillId="5" borderId="1" xfId="0" applyNumberFormat="1" applyFont="1" applyFill="1" applyBorder="1"/>
    <xf numFmtId="0" fontId="13" fillId="0" borderId="0" xfId="0" applyFont="1"/>
    <xf numFmtId="0" fontId="13" fillId="0" borderId="0" xfId="0" applyFont="1" applyAlignment="1">
      <alignment horizontal="left" vertical="top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/>
    </xf>
    <xf numFmtId="167" fontId="13" fillId="0" borderId="1" xfId="0" applyNumberFormat="1" applyFont="1" applyBorder="1" applyAlignment="1">
      <alignment horizontal="right" vertical="center"/>
    </xf>
    <xf numFmtId="9" fontId="13" fillId="0" borderId="1" xfId="0" applyNumberFormat="1" applyFont="1" applyBorder="1" applyAlignment="1">
      <alignment horizontal="center" vertical="center"/>
    </xf>
    <xf numFmtId="168" fontId="14" fillId="8" borderId="1" xfId="0" applyNumberFormat="1" applyFont="1" applyFill="1" applyBorder="1" applyAlignment="1">
      <alignment horizontal="right" vertical="center"/>
    </xf>
    <xf numFmtId="0" fontId="13" fillId="0" borderId="1" xfId="0" applyFont="1" applyBorder="1"/>
    <xf numFmtId="168" fontId="17" fillId="6" borderId="1" xfId="0" applyNumberFormat="1" applyFont="1" applyFill="1" applyBorder="1" applyAlignment="1">
      <alignment horizontal="right" vertical="center"/>
    </xf>
    <xf numFmtId="166" fontId="19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right" vertical="center"/>
    </xf>
    <xf numFmtId="2" fontId="19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top" wrapText="1"/>
    </xf>
    <xf numFmtId="0" fontId="23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26" fillId="8" borderId="1" xfId="0" applyFont="1" applyFill="1" applyBorder="1" applyAlignment="1">
      <alignment horizontal="center" vertical="top"/>
    </xf>
    <xf numFmtId="0" fontId="26" fillId="8" borderId="1" xfId="0" applyFont="1" applyFill="1" applyBorder="1" applyAlignment="1">
      <alignment vertical="top"/>
    </xf>
    <xf numFmtId="0" fontId="26" fillId="8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/>
    </xf>
    <xf numFmtId="0" fontId="15" fillId="6" borderId="1" xfId="0" applyFont="1" applyFill="1" applyBorder="1" applyAlignment="1">
      <alignment vertical="top" wrapText="1"/>
    </xf>
    <xf numFmtId="0" fontId="31" fillId="6" borderId="2" xfId="0" applyFont="1" applyFill="1" applyBorder="1" applyAlignment="1">
      <alignment horizontal="center"/>
    </xf>
    <xf numFmtId="0" fontId="30" fillId="0" borderId="2" xfId="0" applyFont="1" applyBorder="1" applyAlignment="1">
      <alignment horizontal="left"/>
    </xf>
    <xf numFmtId="0" fontId="30" fillId="0" borderId="2" xfId="0" applyFont="1" applyBorder="1" applyAlignment="1">
      <alignment horizontal="center"/>
    </xf>
    <xf numFmtId="0" fontId="0" fillId="0" borderId="2" xfId="0" applyBorder="1"/>
    <xf numFmtId="1" fontId="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164" fontId="30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3" fillId="6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164" fontId="37" fillId="0" borderId="1" xfId="0" applyNumberFormat="1" applyFont="1" applyBorder="1" applyAlignment="1">
      <alignment horizontal="right"/>
    </xf>
    <xf numFmtId="166" fontId="37" fillId="0" borderId="1" xfId="0" applyNumberFormat="1" applyFont="1" applyBorder="1" applyAlignment="1">
      <alignment horizontal="center"/>
    </xf>
    <xf numFmtId="0" fontId="32" fillId="6" borderId="1" xfId="0" applyFont="1" applyFill="1" applyBorder="1"/>
    <xf numFmtId="165" fontId="32" fillId="6" borderId="1" xfId="0" applyNumberFormat="1" applyFont="1" applyFill="1" applyBorder="1" applyAlignment="1">
      <alignment horizontal="right"/>
    </xf>
    <xf numFmtId="166" fontId="32" fillId="6" borderId="1" xfId="0" applyNumberFormat="1" applyFont="1" applyFill="1" applyBorder="1" applyAlignment="1">
      <alignment horizontal="center"/>
    </xf>
    <xf numFmtId="167" fontId="30" fillId="0" borderId="1" xfId="0" applyNumberFormat="1" applyFont="1" applyBorder="1" applyAlignment="1">
      <alignment horizontal="right" vertical="center"/>
    </xf>
    <xf numFmtId="0" fontId="37" fillId="10" borderId="1" xfId="0" applyFont="1" applyFill="1" applyBorder="1" applyAlignment="1">
      <alignment horizontal="left"/>
    </xf>
    <xf numFmtId="164" fontId="37" fillId="10" borderId="1" xfId="0" applyNumberFormat="1" applyFont="1" applyFill="1" applyBorder="1" applyAlignment="1">
      <alignment horizontal="right"/>
    </xf>
    <xf numFmtId="164" fontId="12" fillId="0" borderId="0" xfId="0" applyNumberFormat="1" applyFont="1" applyAlignment="1">
      <alignment horizontal="right" vertical="top"/>
    </xf>
    <xf numFmtId="164" fontId="27" fillId="0" borderId="1" xfId="0" applyNumberFormat="1" applyFont="1" applyBorder="1" applyAlignment="1">
      <alignment horizontal="right" vertical="top"/>
    </xf>
    <xf numFmtId="164" fontId="29" fillId="8" borderId="1" xfId="0" applyNumberFormat="1" applyFont="1" applyFill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164" fontId="15" fillId="6" borderId="1" xfId="0" applyNumberFormat="1" applyFont="1" applyFill="1" applyBorder="1" applyAlignment="1">
      <alignment horizontal="right" vertical="top"/>
    </xf>
    <xf numFmtId="0" fontId="3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right" indent="1"/>
    </xf>
    <xf numFmtId="0" fontId="4" fillId="2" borderId="1" xfId="0" applyFont="1" applyFill="1" applyBorder="1" applyAlignment="1">
      <alignment horizontal="right" indent="1"/>
    </xf>
    <xf numFmtId="0" fontId="1" fillId="0" borderId="0" xfId="0" applyFont="1" applyAlignment="1">
      <alignment horizontal="center"/>
    </xf>
    <xf numFmtId="0" fontId="3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vertical="center" indent="1"/>
    </xf>
    <xf numFmtId="0" fontId="3" fillId="0" borderId="1" xfId="0" applyFont="1" applyBorder="1" applyAlignment="1">
      <alignment vertical="center" wrapText="1" indent="1"/>
    </xf>
    <xf numFmtId="0" fontId="4" fillId="2" borderId="0" xfId="0" applyFont="1" applyFill="1" applyAlignment="1">
      <alignment horizontal="left" vertical="center" indent="1"/>
    </xf>
    <xf numFmtId="0" fontId="32" fillId="6" borderId="0" xfId="0" applyFont="1" applyFill="1" applyAlignment="1">
      <alignment horizontal="left"/>
    </xf>
    <xf numFmtId="0" fontId="36" fillId="3" borderId="1" xfId="0" applyFont="1" applyFill="1" applyBorder="1" applyAlignment="1">
      <alignment vertical="center" indent="1"/>
    </xf>
    <xf numFmtId="0" fontId="37" fillId="0" borderId="1" xfId="0" applyFont="1" applyBorder="1" applyAlignment="1">
      <alignment vertical="center" wrapText="1" indent="1"/>
    </xf>
    <xf numFmtId="0" fontId="16" fillId="7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right" vertical="center"/>
    </xf>
    <xf numFmtId="0" fontId="16" fillId="7" borderId="1" xfId="0" applyFont="1" applyFill="1" applyBorder="1" applyAlignment="1">
      <alignment horizontal="left" vertical="top"/>
    </xf>
    <xf numFmtId="0" fontId="14" fillId="8" borderId="1" xfId="0" applyFont="1" applyFill="1" applyBorder="1" applyAlignment="1">
      <alignment horizontal="right" vertical="center"/>
    </xf>
    <xf numFmtId="0" fontId="17" fillId="6" borderId="1" xfId="0" applyFont="1" applyFill="1" applyBorder="1" applyAlignment="1">
      <alignment horizontal="right" vertical="center"/>
    </xf>
    <xf numFmtId="0" fontId="24" fillId="6" borderId="0" xfId="0" applyFont="1" applyFill="1" applyAlignment="1">
      <alignment horizontal="center" vertical="center"/>
    </xf>
    <xf numFmtId="0" fontId="17" fillId="9" borderId="1" xfId="0" applyFont="1" applyFill="1" applyBorder="1" applyAlignment="1">
      <alignment vertical="top"/>
    </xf>
    <xf numFmtId="0" fontId="17" fillId="9" borderId="1" xfId="0" applyFont="1" applyFill="1" applyBorder="1" applyAlignment="1">
      <alignment vertical="top" wrapText="1"/>
    </xf>
    <xf numFmtId="0" fontId="25" fillId="7" borderId="1" xfId="0" applyFont="1" applyFill="1" applyBorder="1" applyAlignment="1">
      <alignment vertical="top"/>
    </xf>
    <xf numFmtId="0" fontId="25" fillId="7" borderId="1" xfId="0" applyFont="1" applyFill="1" applyBorder="1" applyAlignment="1">
      <alignment vertical="top" wrapText="1"/>
    </xf>
    <xf numFmtId="0" fontId="25" fillId="7" borderId="1" xfId="0" applyFont="1" applyFill="1" applyBorder="1" applyAlignment="1">
      <alignment horizontal="center" vertical="top"/>
    </xf>
    <xf numFmtId="164" fontId="28" fillId="7" borderId="1" xfId="0" applyNumberFormat="1" applyFont="1" applyFill="1" applyBorder="1" applyAlignment="1">
      <alignment horizontal="right" vertical="top"/>
    </xf>
    <xf numFmtId="0" fontId="17" fillId="9" borderId="1" xfId="0" applyFont="1" applyFill="1" applyBorder="1" applyAlignment="1">
      <alignment horizontal="center" vertical="top"/>
    </xf>
    <xf numFmtId="164" fontId="17" fillId="9" borderId="1" xfId="0" applyNumberFormat="1" applyFont="1" applyFill="1" applyBorder="1" applyAlignment="1">
      <alignment horizontal="right" vertical="top"/>
    </xf>
    <xf numFmtId="164" fontId="25" fillId="7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31245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B2C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FBF6A"/>
      <rgbColor rgb="FF003366"/>
      <rgbColor rgb="FF339966"/>
      <rgbColor rgb="FF003300"/>
      <rgbColor rgb="FF333300"/>
      <rgbColor rgb="FF993300"/>
      <rgbColor rgb="FF993366"/>
      <rgbColor rgb="FF1F4E9C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312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F130FD-9662-4D0E-8A8A-CEA85F4D4CF9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1296bceb-22fa-4000-9f6b-da069e35e610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31245"/>
  </sheetPr>
  <dimension ref="A1:E58"/>
  <sheetViews>
    <sheetView showGridLines="0" tabSelected="1" zoomScale="120" zoomScaleNormal="120" workbookViewId="0">
      <selection activeCell="C62" sqref="C62"/>
    </sheetView>
  </sheetViews>
  <sheetFormatPr defaultColWidth="8.5703125" defaultRowHeight="15" x14ac:dyDescent="0.25"/>
  <cols>
    <col min="1" max="1" width="6.140625" customWidth="1"/>
    <col min="2" max="2" width="36" bestFit="1" customWidth="1"/>
    <col min="3" max="3" width="20" customWidth="1"/>
    <col min="4" max="4" width="18" customWidth="1"/>
    <col min="5" max="5" width="92.5703125" customWidth="1"/>
  </cols>
  <sheetData>
    <row r="1" spans="1:5" ht="30" customHeight="1" x14ac:dyDescent="0.45">
      <c r="A1" s="72" t="s">
        <v>345</v>
      </c>
      <c r="B1" s="72"/>
      <c r="C1" s="72"/>
      <c r="D1" s="72"/>
      <c r="E1" s="72"/>
    </row>
    <row r="2" spans="1:5" ht="25.5" customHeight="1" x14ac:dyDescent="0.25">
      <c r="A2" s="73" t="s">
        <v>0</v>
      </c>
      <c r="B2" s="73"/>
      <c r="C2" s="73"/>
      <c r="D2" s="73"/>
      <c r="E2" s="73"/>
    </row>
    <row r="4" spans="1:5" x14ac:dyDescent="0.25">
      <c r="A4" s="74" t="s">
        <v>1</v>
      </c>
      <c r="B4" s="74"/>
      <c r="C4" s="75" t="s">
        <v>2</v>
      </c>
      <c r="D4" s="75"/>
      <c r="E4" s="75"/>
    </row>
    <row r="5" spans="1:5" x14ac:dyDescent="0.25">
      <c r="A5" s="74" t="s">
        <v>3</v>
      </c>
      <c r="B5" s="74"/>
      <c r="C5" s="75" t="s">
        <v>4</v>
      </c>
      <c r="D5" s="75"/>
      <c r="E5" s="75"/>
    </row>
    <row r="6" spans="1:5" x14ac:dyDescent="0.25">
      <c r="A6" s="74" t="s">
        <v>5</v>
      </c>
      <c r="B6" s="74"/>
      <c r="C6" s="75" t="s">
        <v>6</v>
      </c>
      <c r="D6" s="75"/>
      <c r="E6" s="75"/>
    </row>
    <row r="7" spans="1:5" x14ac:dyDescent="0.25">
      <c r="A7" s="74" t="s">
        <v>7</v>
      </c>
      <c r="B7" s="74"/>
      <c r="C7" s="75" t="s">
        <v>8</v>
      </c>
      <c r="D7" s="75"/>
      <c r="E7" s="75"/>
    </row>
    <row r="8" spans="1:5" x14ac:dyDescent="0.25">
      <c r="A8" s="78" t="s">
        <v>243</v>
      </c>
      <c r="B8" s="74"/>
      <c r="C8" s="79" t="s">
        <v>244</v>
      </c>
      <c r="D8" s="75"/>
      <c r="E8" s="75"/>
    </row>
    <row r="9" spans="1:5" x14ac:dyDescent="0.25">
      <c r="A9" s="74" t="s">
        <v>10</v>
      </c>
      <c r="B9" s="74"/>
      <c r="C9" s="79" t="s">
        <v>245</v>
      </c>
      <c r="D9" s="75"/>
      <c r="E9" s="75"/>
    </row>
    <row r="10" spans="1:5" x14ac:dyDescent="0.25">
      <c r="A10" s="74" t="s">
        <v>11</v>
      </c>
      <c r="B10" s="74"/>
      <c r="C10" s="75" t="s">
        <v>12</v>
      </c>
      <c r="D10" s="75"/>
      <c r="E10" s="75"/>
    </row>
    <row r="12" spans="1:5" ht="16.5" x14ac:dyDescent="0.25">
      <c r="A12" s="76" t="s">
        <v>13</v>
      </c>
      <c r="B12" s="76"/>
      <c r="C12" s="76"/>
      <c r="D12" s="76"/>
      <c r="E12" s="76"/>
    </row>
    <row r="13" spans="1:5" ht="15.75" x14ac:dyDescent="0.25">
      <c r="A13" s="1" t="s">
        <v>14</v>
      </c>
      <c r="B13" s="1" t="s">
        <v>15</v>
      </c>
      <c r="C13" s="1" t="s">
        <v>16</v>
      </c>
      <c r="D13" s="1" t="s">
        <v>17</v>
      </c>
      <c r="E13" s="1"/>
    </row>
    <row r="14" spans="1:5" ht="31.5" customHeight="1" x14ac:dyDescent="0.25">
      <c r="A14" s="2" t="s">
        <v>18</v>
      </c>
      <c r="B14" s="3" t="s">
        <v>19</v>
      </c>
      <c r="C14" s="4">
        <f>'Direct Cost'!K48</f>
        <v>2348106.2000000002</v>
      </c>
      <c r="D14" s="5">
        <f>C14/C$16</f>
        <v>0.86956521739130432</v>
      </c>
    </row>
    <row r="15" spans="1:5" ht="31.5" customHeight="1" x14ac:dyDescent="0.25">
      <c r="A15" s="2" t="s">
        <v>20</v>
      </c>
      <c r="B15" s="3" t="s">
        <v>21</v>
      </c>
      <c r="C15" s="4">
        <f>'Admin Cost'!K40</f>
        <v>352215.93</v>
      </c>
      <c r="D15" s="5">
        <f>C15/C$16</f>
        <v>0.13043478260869562</v>
      </c>
    </row>
    <row r="16" spans="1:5" ht="16.5" x14ac:dyDescent="0.3">
      <c r="A16" s="6"/>
      <c r="B16" s="6" t="s">
        <v>22</v>
      </c>
      <c r="C16" s="7">
        <f>SUM(C14:C15)</f>
        <v>2700322.1300000004</v>
      </c>
      <c r="D16" s="8">
        <v>1</v>
      </c>
      <c r="E16" s="6"/>
    </row>
    <row r="18" spans="1:4" ht="16.5" x14ac:dyDescent="0.3">
      <c r="A18" s="77" t="s">
        <v>246</v>
      </c>
      <c r="B18" s="77"/>
      <c r="C18" s="77"/>
      <c r="D18" s="77"/>
    </row>
    <row r="19" spans="1:4" ht="15.75" x14ac:dyDescent="0.3">
      <c r="A19" s="49" t="s">
        <v>233</v>
      </c>
      <c r="B19" s="49" t="s">
        <v>247</v>
      </c>
      <c r="C19" s="49" t="s">
        <v>16</v>
      </c>
      <c r="D19" s="49" t="s">
        <v>17</v>
      </c>
    </row>
    <row r="20" spans="1:4" x14ac:dyDescent="0.25">
      <c r="A20" s="50">
        <f>'Accounts &amp; Activity'!B2</f>
        <v>2601</v>
      </c>
      <c r="B20" s="51" t="str">
        <f>'Accounts &amp; Activity'!A2</f>
        <v xml:space="preserve">Program Field Staff </v>
      </c>
      <c r="C20" s="52">
        <f>SUMIF('Direct Cost'!$C:$C,$A20,'Direct Cost'!$K:$K)+SUMIF('Admin Cost'!$C:$C,$A20,'Admin Cost'!$K:$K)</f>
        <v>48600</v>
      </c>
      <c r="D20" s="53">
        <f t="shared" ref="D20:D25" si="0">C20/$C$48</f>
        <v>2.8582819186150334E-2</v>
      </c>
    </row>
    <row r="21" spans="1:4" x14ac:dyDescent="0.25">
      <c r="A21" s="50">
        <f>'Accounts &amp; Activity'!B3</f>
        <v>2602</v>
      </c>
      <c r="B21" s="51" t="str">
        <f>'Accounts &amp; Activity'!A3</f>
        <v>Management Field Staff</v>
      </c>
      <c r="C21" s="52">
        <f>SUMIF('Direct Cost'!$C:$C,$A21,'Direct Cost'!$K:$K)+SUMIF('Admin Cost'!$C:$C,$A21,'Admin Cost'!$K:$K)</f>
        <v>0</v>
      </c>
      <c r="D21" s="53">
        <f t="shared" si="0"/>
        <v>0</v>
      </c>
    </row>
    <row r="22" spans="1:4" x14ac:dyDescent="0.25">
      <c r="A22" s="50">
        <f>'Accounts &amp; Activity'!B4</f>
        <v>2603</v>
      </c>
      <c r="B22" s="51" t="str">
        <f>'Accounts &amp; Activity'!A4</f>
        <v>Head Office staff</v>
      </c>
      <c r="C22" s="52">
        <f>SUMIF('Direct Cost'!$C:$C,$A22,'Direct Cost'!$K:$K)+SUMIF('Admin Cost'!$C:$C,$A22,'Admin Cost'!$K:$K)</f>
        <v>0</v>
      </c>
      <c r="D22" s="53">
        <f t="shared" si="0"/>
        <v>0</v>
      </c>
    </row>
    <row r="23" spans="1:4" x14ac:dyDescent="0.25">
      <c r="A23" s="50">
        <f>'Accounts &amp; Activity'!B5</f>
        <v>2604</v>
      </c>
      <c r="B23" s="51" t="str">
        <f>'Accounts &amp; Activity'!A5</f>
        <v xml:space="preserve">Support Field staff </v>
      </c>
      <c r="C23" s="52">
        <f>SUMIF('Direct Cost'!$C:$C,$A23,'Direct Cost'!$K:$K)+SUMIF('Admin Cost'!$C:$C,$A23,'Admin Cost'!$K:$K)</f>
        <v>0</v>
      </c>
      <c r="D23" s="53">
        <f t="shared" si="0"/>
        <v>0</v>
      </c>
    </row>
    <row r="24" spans="1:4" x14ac:dyDescent="0.25">
      <c r="A24" s="50">
        <f>'Accounts &amp; Activity'!B6</f>
        <v>2605</v>
      </c>
      <c r="B24" s="51" t="str">
        <f>'Accounts &amp; Activity'!A6</f>
        <v>Staff Transportation</v>
      </c>
      <c r="C24" s="52">
        <f>SUMIF('Direct Cost'!$C:$C,$A24,'Direct Cost'!$K:$K)+SUMIF('Admin Cost'!$C:$C,$A24,'Admin Cost'!$K:$K)</f>
        <v>0</v>
      </c>
      <c r="D24" s="53">
        <f t="shared" si="0"/>
        <v>0</v>
      </c>
    </row>
    <row r="25" spans="1:4" x14ac:dyDescent="0.25">
      <c r="A25" s="50">
        <f>'Accounts &amp; Activity'!B7</f>
        <v>2606</v>
      </c>
      <c r="B25" s="51" t="str">
        <f>'Accounts &amp; Activity'!A7</f>
        <v>Ben Transportation</v>
      </c>
      <c r="C25" s="52">
        <f>SUMIF('Direct Cost'!$C:$C,$A25,'Direct Cost'!$K:$K)+SUMIF('Admin Cost'!$C:$C,$A25,'Admin Cost'!$K:$K)</f>
        <v>45000</v>
      </c>
      <c r="D25" s="53">
        <f t="shared" si="0"/>
        <v>2.6465573320509569E-2</v>
      </c>
    </row>
    <row r="26" spans="1:4" x14ac:dyDescent="0.25">
      <c r="A26" s="50">
        <f>'Accounts &amp; Activity'!B8</f>
        <v>2607</v>
      </c>
      <c r="B26" s="51" t="str">
        <f>'Accounts &amp; Activity'!A8</f>
        <v>Car Rent</v>
      </c>
      <c r="C26" s="52">
        <f>SUMIF('Direct Cost'!$C:$C,$A26,'Direct Cost'!$K:$K)+SUMIF('Admin Cost'!$C:$C,$A26,'Admin Cost'!$K:$K)</f>
        <v>0</v>
      </c>
      <c r="D26" s="53">
        <f t="shared" ref="D26:D27" si="1">C26/$C$48</f>
        <v>0</v>
      </c>
    </row>
    <row r="27" spans="1:4" x14ac:dyDescent="0.25">
      <c r="A27" s="50">
        <f>'Accounts &amp; Activity'!B9</f>
        <v>2608</v>
      </c>
      <c r="B27" s="51" t="str">
        <f>'Accounts &amp; Activity'!A9</f>
        <v>Fuel for generator or Car</v>
      </c>
      <c r="C27" s="52">
        <f>SUMIF('Direct Cost'!$C:$C,$A27,'Direct Cost'!$K:$K)+SUMIF('Admin Cost'!$C:$C,$A27,'Admin Cost'!$K:$K)</f>
        <v>0</v>
      </c>
      <c r="D27" s="53">
        <f t="shared" si="1"/>
        <v>0</v>
      </c>
    </row>
    <row r="28" spans="1:4" x14ac:dyDescent="0.25">
      <c r="A28" s="50">
        <f>'Accounts &amp; Activity'!B10</f>
        <v>2609</v>
      </c>
      <c r="B28" s="51" t="str">
        <f>'Accounts &amp; Activity'!A10</f>
        <v xml:space="preserve">IT Equipment </v>
      </c>
      <c r="C28" s="52">
        <f>SUMIF('Direct Cost'!$C:$C,$A28,'Direct Cost'!$K:$K)+SUMIF('Admin Cost'!$C:$C,$A28,'Admin Cost'!$K:$K)</f>
        <v>12000</v>
      </c>
      <c r="D28" s="53">
        <f t="shared" ref="D28:D47" si="2">C28/$C$48</f>
        <v>7.0574862188025516E-3</v>
      </c>
    </row>
    <row r="29" spans="1:4" x14ac:dyDescent="0.25">
      <c r="A29" s="50">
        <f>'Accounts &amp; Activity'!B11</f>
        <v>2610</v>
      </c>
      <c r="B29" s="51" t="str">
        <f>'Accounts &amp; Activity'!A11</f>
        <v xml:space="preserve">Project / Center Equipments </v>
      </c>
      <c r="C29" s="52">
        <f>SUMIF('Direct Cost'!$C:$C,$A29,'Direct Cost'!$K:$K)+SUMIF('Admin Cost'!$C:$C,$A29,'Admin Cost'!$K:$K)</f>
        <v>223000</v>
      </c>
      <c r="D29" s="53">
        <f t="shared" si="2"/>
        <v>0.1311516188994141</v>
      </c>
    </row>
    <row r="30" spans="1:4" x14ac:dyDescent="0.25">
      <c r="A30" s="50">
        <f>'Accounts &amp; Activity'!B12</f>
        <v>2611</v>
      </c>
      <c r="B30" s="58" t="str">
        <f>'Accounts &amp; Activity'!A12</f>
        <v>Prosthetics components</v>
      </c>
      <c r="C30" s="59">
        <f>SUMIF('Direct Cost'!$C:$C,$A30,'Direct Cost'!$K:$K)+SUMIF('Admin Cost'!$C:$C,$A30,'Admin Cost'!$K:$K)</f>
        <v>500000</v>
      </c>
      <c r="D30" s="53">
        <f t="shared" si="2"/>
        <v>0.29406192578343965</v>
      </c>
    </row>
    <row r="31" spans="1:4" x14ac:dyDescent="0.25">
      <c r="A31" s="50">
        <f>'Accounts &amp; Activity'!B13</f>
        <v>2612</v>
      </c>
      <c r="B31" s="58" t="str">
        <f>'Accounts &amp; Activity'!A13</f>
        <v>Media Equipments</v>
      </c>
      <c r="C31" s="59">
        <f>SUMIF('Direct Cost'!$C:$C,$A31,'Direct Cost'!$K:$K)+SUMIF('Admin Cost'!$C:$C,$A31,'Admin Cost'!$K:$K)</f>
        <v>30000</v>
      </c>
      <c r="D31" s="53">
        <f t="shared" si="2"/>
        <v>1.7643715547006378E-2</v>
      </c>
    </row>
    <row r="32" spans="1:4" x14ac:dyDescent="0.25">
      <c r="A32" s="50">
        <f>'Accounts &amp; Activity'!B14</f>
        <v>2613</v>
      </c>
      <c r="B32" s="51" t="str">
        <f>'Accounts &amp; Activity'!A14</f>
        <v xml:space="preserve">Consultant </v>
      </c>
      <c r="C32" s="52">
        <f>SUMIF('Direct Cost'!$C:$C,$A32,'Direct Cost'!$K:$K)+SUMIF('Admin Cost'!$C:$C,$A32,'Admin Cost'!$K:$K)</f>
        <v>183087</v>
      </c>
      <c r="D32" s="53">
        <f t="shared" si="2"/>
        <v>0.10767783161182523</v>
      </c>
    </row>
    <row r="33" spans="1:4" x14ac:dyDescent="0.25">
      <c r="A33" s="50">
        <f>'Accounts &amp; Activity'!B15</f>
        <v>2614</v>
      </c>
      <c r="B33" s="51" t="str">
        <f>'Accounts &amp; Activity'!A15</f>
        <v>Daily worker</v>
      </c>
      <c r="C33" s="52">
        <f>SUMIF('Direct Cost'!$C:$C,$A33,'Direct Cost'!$K:$K)+SUMIF('Admin Cost'!$C:$C,$A33,'Admin Cost'!$K:$K)</f>
        <v>0</v>
      </c>
      <c r="D33" s="53">
        <f t="shared" si="2"/>
        <v>0</v>
      </c>
    </row>
    <row r="34" spans="1:4" x14ac:dyDescent="0.25">
      <c r="A34" s="50">
        <f>'Accounts &amp; Activity'!B16</f>
        <v>2615</v>
      </c>
      <c r="B34" s="51" t="str">
        <f>'Accounts &amp; Activity'!A16</f>
        <v xml:space="preserve">Training for staff </v>
      </c>
      <c r="C34" s="52">
        <f>SUMIF('Direct Cost'!$C:$C,$A34,'Direct Cost'!$K:$K)+SUMIF('Admin Cost'!$C:$C,$A34,'Admin Cost'!$K:$K)</f>
        <v>163919.20000000001</v>
      </c>
      <c r="D34" s="53">
        <f t="shared" si="2"/>
        <v>9.6404791249761604E-2</v>
      </c>
    </row>
    <row r="35" spans="1:4" x14ac:dyDescent="0.25">
      <c r="A35" s="50">
        <f>'Accounts &amp; Activity'!B17</f>
        <v>2616</v>
      </c>
      <c r="B35" s="51" t="str">
        <f>'Accounts &amp; Activity'!A17</f>
        <v>International Travel</v>
      </c>
      <c r="C35" s="52">
        <f>SUMIF('Direct Cost'!$C:$C,$A35,'Direct Cost'!$K:$K)+SUMIF('Admin Cost'!$C:$C,$A35,'Admin Cost'!$K:$K)</f>
        <v>0</v>
      </c>
      <c r="D35" s="53">
        <f t="shared" si="2"/>
        <v>0</v>
      </c>
    </row>
    <row r="36" spans="1:4" x14ac:dyDescent="0.25">
      <c r="A36" s="50">
        <f>'Accounts &amp; Activity'!B18</f>
        <v>2617</v>
      </c>
      <c r="B36" s="51" t="str">
        <f>'Accounts &amp; Activity'!A18</f>
        <v xml:space="preserve">Partnership </v>
      </c>
      <c r="C36" s="52">
        <f>SUMIF('Direct Cost'!$C:$C,$A36,'Direct Cost'!$K:$K)+SUMIF('Admin Cost'!$C:$C,$A36,'Admin Cost'!$K:$K)</f>
        <v>0</v>
      </c>
      <c r="D36" s="53">
        <f t="shared" si="2"/>
        <v>0</v>
      </c>
    </row>
    <row r="37" spans="1:4" x14ac:dyDescent="0.25">
      <c r="A37" s="50">
        <f>'Accounts &amp; Activity'!B19</f>
        <v>2618</v>
      </c>
      <c r="B37" s="51" t="str">
        <f>'Accounts &amp; Activity'!A19</f>
        <v xml:space="preserve">Subscription </v>
      </c>
      <c r="C37" s="52">
        <f>SUMIF('Direct Cost'!$C:$C,$A37,'Direct Cost'!$K:$K)+SUMIF('Admin Cost'!$C:$C,$A37,'Admin Cost'!$K:$K)</f>
        <v>9000</v>
      </c>
      <c r="D37" s="53">
        <f t="shared" si="2"/>
        <v>5.2931146641019139E-3</v>
      </c>
    </row>
    <row r="38" spans="1:4" x14ac:dyDescent="0.25">
      <c r="A38" s="50">
        <f>'Accounts &amp; Activity'!B20</f>
        <v>2619</v>
      </c>
      <c r="B38" s="51" t="str">
        <f>'Accounts &amp; Activity'!A20</f>
        <v xml:space="preserve">Office Rent </v>
      </c>
      <c r="C38" s="52">
        <f>SUMIF('Direct Cost'!$C:$C,$A38,'Direct Cost'!$K:$K)+SUMIF('Admin Cost'!$C:$C,$A38,'Admin Cost'!$K:$K)</f>
        <v>75600</v>
      </c>
      <c r="D38" s="53">
        <f t="shared" si="2"/>
        <v>4.4462163178456075E-2</v>
      </c>
    </row>
    <row r="39" spans="1:4" x14ac:dyDescent="0.25">
      <c r="A39" s="50">
        <f>'Accounts &amp; Activity'!B21</f>
        <v>2620</v>
      </c>
      <c r="B39" s="51" t="str">
        <f>'Accounts &amp; Activity'!A21</f>
        <v>Stationary</v>
      </c>
      <c r="C39" s="52">
        <f>SUMIF('Direct Cost'!$C:$C,$A39,'Direct Cost'!$K:$K)+SUMIF('Admin Cost'!$C:$C,$A39,'Admin Cost'!$K:$K)</f>
        <v>0</v>
      </c>
      <c r="D39" s="53">
        <f t="shared" si="2"/>
        <v>0</v>
      </c>
    </row>
    <row r="40" spans="1:4" x14ac:dyDescent="0.25">
      <c r="A40" s="50">
        <f>'Accounts &amp; Activity'!B22</f>
        <v>2621</v>
      </c>
      <c r="B40" s="51" t="str">
        <f>'Accounts &amp; Activity'!A22</f>
        <v>Workshops / Seminars / Team Building</v>
      </c>
      <c r="C40" s="52">
        <f>SUMIF('Direct Cost'!$C:$C,$A40,'Direct Cost'!$K:$K)+SUMIF('Admin Cost'!$C:$C,$A40,'Admin Cost'!$K:$K)</f>
        <v>0</v>
      </c>
      <c r="D40" s="53">
        <f t="shared" si="2"/>
        <v>0</v>
      </c>
    </row>
    <row r="41" spans="1:4" x14ac:dyDescent="0.25">
      <c r="A41" s="50">
        <f>'Accounts &amp; Activity'!B23</f>
        <v>2622</v>
      </c>
      <c r="B41" s="51" t="str">
        <f>'Accounts &amp; Activity'!A23</f>
        <v>Legal Fees</v>
      </c>
      <c r="C41" s="52">
        <f>SUMIF('Direct Cost'!$C:$C,$A41,'Direct Cost'!$K:$K)+SUMIF('Admin Cost'!$C:$C,$A41,'Admin Cost'!$K:$K)</f>
        <v>18000</v>
      </c>
      <c r="D41" s="53">
        <f t="shared" si="2"/>
        <v>1.0586229328203828E-2</v>
      </c>
    </row>
    <row r="42" spans="1:4" x14ac:dyDescent="0.25">
      <c r="A42" s="50">
        <f>'Accounts &amp; Activity'!B24</f>
        <v>2623</v>
      </c>
      <c r="B42" s="51" t="str">
        <f>'Accounts &amp; Activity'!A24</f>
        <v>Bank Fees</v>
      </c>
      <c r="C42" s="52">
        <f>SUMIF('Direct Cost'!$C:$C,$A42,'Direct Cost'!$K:$K)+SUMIF('Admin Cost'!$C:$C,$A42,'Admin Cost'!$K:$K)</f>
        <v>11000</v>
      </c>
      <c r="D42" s="53">
        <f t="shared" si="2"/>
        <v>6.4693623672356726E-3</v>
      </c>
    </row>
    <row r="43" spans="1:4" x14ac:dyDescent="0.25">
      <c r="A43" s="50">
        <f>'Accounts &amp; Activity'!B25</f>
        <v>2624</v>
      </c>
      <c r="B43" s="51" t="str">
        <f>'Accounts &amp; Activity'!A25</f>
        <v xml:space="preserve">Insurance </v>
      </c>
      <c r="C43" s="52">
        <f>SUMIF('Direct Cost'!$C:$C,$A43,'Direct Cost'!$K:$K)+SUMIF('Admin Cost'!$C:$C,$A43,'Admin Cost'!$K:$K)</f>
        <v>4800</v>
      </c>
      <c r="D43" s="53">
        <f t="shared" si="2"/>
        <v>2.8229944875210206E-3</v>
      </c>
    </row>
    <row r="44" spans="1:4" x14ac:dyDescent="0.25">
      <c r="A44" s="50">
        <f>'Accounts &amp; Activity'!B26</f>
        <v>2625</v>
      </c>
      <c r="B44" s="51" t="str">
        <f>'Accounts &amp; Activity'!A26</f>
        <v>Telecommunication and Internet Cost</v>
      </c>
      <c r="C44" s="52">
        <f>SUMIF('Direct Cost'!$C:$C,$A44,'Direct Cost'!$K:$K)+SUMIF('Admin Cost'!$C:$C,$A44,'Admin Cost'!$K:$K)</f>
        <v>7920</v>
      </c>
      <c r="D44" s="53">
        <f t="shared" si="2"/>
        <v>4.6579409044096845E-3</v>
      </c>
    </row>
    <row r="45" spans="1:4" x14ac:dyDescent="0.25">
      <c r="A45" s="50">
        <f>'Accounts &amp; Activity'!B27</f>
        <v>2626</v>
      </c>
      <c r="B45" s="51" t="str">
        <f>'Accounts &amp; Activity'!A27</f>
        <v xml:space="preserve">Nutrition and food </v>
      </c>
      <c r="C45" s="52">
        <f>SUMIF('Direct Cost'!$C:$C,$A45,'Direct Cost'!$K:$K)+SUMIF('Admin Cost'!$C:$C,$A45,'Admin Cost'!$K:$K)</f>
        <v>162000</v>
      </c>
      <c r="D45" s="53">
        <f t="shared" si="2"/>
        <v>9.527606395383445E-2</v>
      </c>
    </row>
    <row r="46" spans="1:4" x14ac:dyDescent="0.25">
      <c r="A46" s="50">
        <f>'Accounts &amp; Activity'!B28</f>
        <v>2627</v>
      </c>
      <c r="B46" s="51" t="str">
        <f>'Accounts &amp; Activity'!A28</f>
        <v xml:space="preserve">Social Security </v>
      </c>
      <c r="C46" s="52">
        <f>SUMIF('Direct Cost'!$C:$C,$A46,'Direct Cost'!$K:$K)+SUMIF('Admin Cost'!$C:$C,$A46,'Admin Cost'!$K:$K)</f>
        <v>10500</v>
      </c>
      <c r="D46" s="53">
        <f t="shared" si="2"/>
        <v>6.1753004414522332E-3</v>
      </c>
    </row>
    <row r="47" spans="1:4" x14ac:dyDescent="0.25">
      <c r="A47" s="50">
        <f>'Accounts &amp; Activity'!B29</f>
        <v>2628</v>
      </c>
      <c r="B47" s="51" t="str">
        <f>'Accounts &amp; Activity'!A29</f>
        <v>Contingency</v>
      </c>
      <c r="C47" s="52">
        <f>SUMIF('Direct Cost'!$C:$C,$A47,'Direct Cost'!$K:$K)+SUMIF('Admin Cost'!$C:$C,$A47,'Admin Cost'!$K:$K)</f>
        <v>195895.93</v>
      </c>
      <c r="D47" s="53">
        <f t="shared" si="2"/>
        <v>0.11521106885787577</v>
      </c>
    </row>
    <row r="48" spans="1:4" ht="16.5" x14ac:dyDescent="0.3">
      <c r="A48" s="54" t="s">
        <v>248</v>
      </c>
      <c r="B48" s="54"/>
      <c r="C48" s="55">
        <f>SUM(C20:C47)</f>
        <v>1700322.13</v>
      </c>
      <c r="D48" s="56">
        <f>SUM(D20:D47)</f>
        <v>1</v>
      </c>
    </row>
    <row r="50" spans="1:4" ht="16.5" x14ac:dyDescent="0.3">
      <c r="A50" s="77" t="s">
        <v>249</v>
      </c>
      <c r="B50" s="77"/>
      <c r="C50" s="77"/>
      <c r="D50" s="77"/>
    </row>
    <row r="51" spans="1:4" ht="15.75" x14ac:dyDescent="0.3">
      <c r="A51" s="49" t="s">
        <v>28</v>
      </c>
      <c r="B51" s="49" t="s">
        <v>250</v>
      </c>
      <c r="C51" s="49" t="s">
        <v>16</v>
      </c>
      <c r="D51" s="49" t="s">
        <v>17</v>
      </c>
    </row>
    <row r="52" spans="1:4" x14ac:dyDescent="0.25">
      <c r="A52" s="50" t="s">
        <v>184</v>
      </c>
      <c r="B52" s="51" t="s">
        <v>219</v>
      </c>
      <c r="C52" s="52">
        <f>SUMIF('Direct Cost'!$B:$B,"S*",'Direct Cost'!$K:$K)+SUMIF('Admin Cost'!$B:$B,"S*",'Admin Cost'!$K:$K)</f>
        <v>382215.93</v>
      </c>
      <c r="D52" s="53">
        <f t="shared" ref="D52:D57" si="3">C52/$C$58</f>
        <v>0.22479030488181673</v>
      </c>
    </row>
    <row r="53" spans="1:4" x14ac:dyDescent="0.25">
      <c r="A53" s="50" t="s">
        <v>185</v>
      </c>
      <c r="B53" s="51" t="s">
        <v>220</v>
      </c>
      <c r="C53" s="52">
        <f>SUMIF('Direct Cost'!$B:$B,"R*",'Direct Cost'!$K:$K)+SUMIF('Admin Cost'!$B:$B,"R*",'Admin Cost'!$K:$K)</f>
        <v>41200</v>
      </c>
      <c r="D53" s="53">
        <f t="shared" si="3"/>
        <v>2.4230702684555426E-2</v>
      </c>
    </row>
    <row r="54" spans="1:4" x14ac:dyDescent="0.25">
      <c r="A54" s="50" t="s">
        <v>186</v>
      </c>
      <c r="B54" s="51" t="s">
        <v>221</v>
      </c>
      <c r="C54" s="52">
        <f>SUMIF('Direct Cost'!$B:$B,"M*",'Direct Cost'!$K:$K)+SUMIF('Admin Cost'!$B:$B,"M*",'Admin Cost'!$K:$K)</f>
        <v>16200</v>
      </c>
      <c r="D54" s="53">
        <f t="shared" si="3"/>
        <v>9.527606395383444E-3</v>
      </c>
    </row>
    <row r="55" spans="1:4" x14ac:dyDescent="0.25">
      <c r="A55" s="50" t="s">
        <v>223</v>
      </c>
      <c r="B55" s="51" t="s">
        <v>222</v>
      </c>
      <c r="C55" s="52">
        <f>SUMIF('Direct Cost'!$B:$B,"N*",'Direct Cost'!$K:$K)+SUMIF('Admin Cost'!$B:$B,"N*",'Admin Cost'!$K:$K)</f>
        <v>162000</v>
      </c>
      <c r="D55" s="53">
        <f t="shared" si="3"/>
        <v>9.527606395383445E-2</v>
      </c>
    </row>
    <row r="56" spans="1:4" x14ac:dyDescent="0.25">
      <c r="A56" s="50" t="s">
        <v>225</v>
      </c>
      <c r="B56" s="51" t="s">
        <v>224</v>
      </c>
      <c r="C56" s="52">
        <f>SUMIF('Direct Cost'!$B:$B,"P0*",'Direct Cost'!$K:$K)+SUMIF('Admin Cost'!$B:$B,"P0*",'Admin Cost'!$K:$K)</f>
        <v>1098706.2</v>
      </c>
      <c r="D56" s="53">
        <f t="shared" si="3"/>
        <v>0.64617532208440998</v>
      </c>
    </row>
    <row r="57" spans="1:4" x14ac:dyDescent="0.25">
      <c r="A57" s="50" t="s">
        <v>226</v>
      </c>
      <c r="B57" s="51" t="s">
        <v>251</v>
      </c>
      <c r="C57" s="52">
        <f>SUMIF('Direct Cost'!$B:$B,"PM*",'Direct Cost'!$K:$K)+SUMIF('Admin Cost'!$B:$B,"PM*",'Admin Cost'!$K:$K)</f>
        <v>0</v>
      </c>
      <c r="D57" s="53">
        <f t="shared" si="3"/>
        <v>0</v>
      </c>
    </row>
    <row r="58" spans="1:4" ht="16.5" x14ac:dyDescent="0.3">
      <c r="A58" s="54" t="s">
        <v>248</v>
      </c>
      <c r="B58" s="54"/>
      <c r="C58" s="55">
        <f>SUM(C52:C57)</f>
        <v>1700322.13</v>
      </c>
      <c r="D58" s="56">
        <f>SUM(D52:D57)</f>
        <v>1</v>
      </c>
    </row>
  </sheetData>
  <mergeCells count="19">
    <mergeCell ref="A18:D18"/>
    <mergeCell ref="A50:D50"/>
    <mergeCell ref="A8:B8"/>
    <mergeCell ref="C8:E8"/>
    <mergeCell ref="A9:B9"/>
    <mergeCell ref="C9:E9"/>
    <mergeCell ref="A10:B10"/>
    <mergeCell ref="C10:E10"/>
    <mergeCell ref="A6:B6"/>
    <mergeCell ref="C6:E6"/>
    <mergeCell ref="A7:B7"/>
    <mergeCell ref="C7:E7"/>
    <mergeCell ref="A12:E12"/>
    <mergeCell ref="A1:E1"/>
    <mergeCell ref="A2:E2"/>
    <mergeCell ref="A4:B4"/>
    <mergeCell ref="C4:E4"/>
    <mergeCell ref="A5:B5"/>
    <mergeCell ref="C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FBF6A"/>
  </sheetPr>
  <dimension ref="A1:K48"/>
  <sheetViews>
    <sheetView showGridLines="0" topLeftCell="A5" zoomScale="120" zoomScaleNormal="120" workbookViewId="0">
      <selection activeCell="E7" sqref="E7:E9"/>
    </sheetView>
  </sheetViews>
  <sheetFormatPr defaultColWidth="8.5703125" defaultRowHeight="15" x14ac:dyDescent="0.25"/>
  <cols>
    <col min="1" max="1" width="8" customWidth="1"/>
    <col min="2" max="2" width="9.85546875" customWidth="1"/>
    <col min="3" max="3" width="9.140625" customWidth="1"/>
    <col min="4" max="4" width="10" customWidth="1"/>
    <col min="5" max="5" width="37.5703125" customWidth="1"/>
    <col min="6" max="6" width="10" customWidth="1"/>
    <col min="7" max="7" width="16.42578125" customWidth="1"/>
    <col min="8" max="8" width="11.85546875" bestFit="1" customWidth="1"/>
    <col min="9" max="9" width="13" customWidth="1"/>
    <col min="10" max="10" width="12.7109375" customWidth="1"/>
    <col min="11" max="11" width="18" bestFit="1" customWidth="1"/>
  </cols>
  <sheetData>
    <row r="1" spans="1:11" ht="25.5" customHeight="1" x14ac:dyDescent="0.25">
      <c r="A1" s="65" t="s">
        <v>346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 x14ac:dyDescent="0.25">
      <c r="A2" s="67" t="s">
        <v>242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x14ac:dyDescent="0.25">
      <c r="A3" s="9" t="s">
        <v>23</v>
      </c>
      <c r="B3" s="9"/>
      <c r="C3" s="9"/>
      <c r="D3" s="10" t="s">
        <v>6</v>
      </c>
      <c r="H3" s="9"/>
      <c r="I3" s="10"/>
    </row>
    <row r="4" spans="1:11" x14ac:dyDescent="0.25">
      <c r="A4" s="9" t="s">
        <v>25</v>
      </c>
      <c r="B4" s="9"/>
      <c r="C4" s="9"/>
      <c r="D4" s="10" t="s">
        <v>26</v>
      </c>
      <c r="H4" s="48" t="s">
        <v>27</v>
      </c>
      <c r="I4" s="10" t="s">
        <v>12</v>
      </c>
    </row>
    <row r="5" spans="1:11" ht="31.5" customHeight="1" x14ac:dyDescent="0.25">
      <c r="A5" s="1" t="s">
        <v>28</v>
      </c>
      <c r="B5" s="1" t="s">
        <v>182</v>
      </c>
      <c r="C5" s="1" t="s">
        <v>233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</row>
    <row r="6" spans="1:11" ht="15.75" x14ac:dyDescent="0.25">
      <c r="A6" s="69" t="s">
        <v>38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11" x14ac:dyDescent="0.25">
      <c r="A7" s="2" t="s">
        <v>39</v>
      </c>
      <c r="B7" s="2" t="s">
        <v>227</v>
      </c>
      <c r="C7" s="43">
        <v>2602</v>
      </c>
      <c r="D7" s="2" t="s">
        <v>40</v>
      </c>
      <c r="E7" s="3" t="s">
        <v>252</v>
      </c>
      <c r="F7" s="2" t="s">
        <v>41</v>
      </c>
      <c r="G7" s="2">
        <v>1</v>
      </c>
      <c r="H7" s="2">
        <v>18</v>
      </c>
      <c r="I7" s="47">
        <v>0</v>
      </c>
      <c r="J7" s="5">
        <v>1</v>
      </c>
      <c r="K7" s="4">
        <f t="shared" ref="K7:K15" si="0">G7*H7*I7*J7</f>
        <v>0</v>
      </c>
    </row>
    <row r="8" spans="1:11" x14ac:dyDescent="0.25">
      <c r="A8" s="2" t="s">
        <v>42</v>
      </c>
      <c r="B8" s="2" t="s">
        <v>228</v>
      </c>
      <c r="C8" s="43">
        <v>2602</v>
      </c>
      <c r="D8" s="2" t="s">
        <v>40</v>
      </c>
      <c r="E8" s="3" t="s">
        <v>43</v>
      </c>
      <c r="F8" s="2" t="s">
        <v>41</v>
      </c>
      <c r="G8" s="2">
        <v>1</v>
      </c>
      <c r="H8" s="2">
        <v>18</v>
      </c>
      <c r="I8" s="47">
        <v>0</v>
      </c>
      <c r="J8" s="5">
        <v>1</v>
      </c>
      <c r="K8" s="4">
        <f t="shared" si="0"/>
        <v>0</v>
      </c>
    </row>
    <row r="9" spans="1:11" x14ac:dyDescent="0.25">
      <c r="A9" s="2" t="s">
        <v>44</v>
      </c>
      <c r="B9" s="2" t="s">
        <v>229</v>
      </c>
      <c r="C9" s="43">
        <v>2602</v>
      </c>
      <c r="D9" s="2" t="s">
        <v>40</v>
      </c>
      <c r="E9" s="3" t="s">
        <v>45</v>
      </c>
      <c r="F9" s="2" t="s">
        <v>41</v>
      </c>
      <c r="G9" s="2">
        <v>1</v>
      </c>
      <c r="H9" s="2">
        <v>18</v>
      </c>
      <c r="I9" s="47">
        <v>0</v>
      </c>
      <c r="J9" s="5">
        <v>1</v>
      </c>
      <c r="K9" s="4">
        <f t="shared" si="0"/>
        <v>0</v>
      </c>
    </row>
    <row r="10" spans="1:11" x14ac:dyDescent="0.25">
      <c r="A10" s="2" t="s">
        <v>46</v>
      </c>
      <c r="B10" s="2" t="s">
        <v>228</v>
      </c>
      <c r="C10" s="43">
        <v>2601</v>
      </c>
      <c r="D10" s="2" t="s">
        <v>40</v>
      </c>
      <c r="E10" s="3" t="s">
        <v>258</v>
      </c>
      <c r="F10" s="2" t="s">
        <v>41</v>
      </c>
      <c r="G10" s="2">
        <v>6</v>
      </c>
      <c r="H10" s="2">
        <v>18</v>
      </c>
      <c r="I10" s="47">
        <v>0</v>
      </c>
      <c r="J10" s="5">
        <v>1</v>
      </c>
      <c r="K10" s="4">
        <f t="shared" si="0"/>
        <v>0</v>
      </c>
    </row>
    <row r="11" spans="1:11" x14ac:dyDescent="0.25">
      <c r="A11" s="2" t="s">
        <v>47</v>
      </c>
      <c r="B11" s="2" t="s">
        <v>229</v>
      </c>
      <c r="C11" s="43">
        <v>2601</v>
      </c>
      <c r="D11" s="2" t="s">
        <v>40</v>
      </c>
      <c r="E11" s="3" t="s">
        <v>257</v>
      </c>
      <c r="F11" s="2" t="s">
        <v>41</v>
      </c>
      <c r="G11" s="2">
        <v>6</v>
      </c>
      <c r="H11" s="2">
        <v>18</v>
      </c>
      <c r="I11" s="47">
        <v>0</v>
      </c>
      <c r="J11" s="5">
        <v>1</v>
      </c>
      <c r="K11" s="4">
        <f t="shared" si="0"/>
        <v>0</v>
      </c>
    </row>
    <row r="12" spans="1:11" x14ac:dyDescent="0.25">
      <c r="A12" s="2" t="s">
        <v>48</v>
      </c>
      <c r="B12" s="2" t="s">
        <v>235</v>
      </c>
      <c r="C12" s="43">
        <v>2601</v>
      </c>
      <c r="D12" s="2" t="s">
        <v>40</v>
      </c>
      <c r="E12" s="3" t="s">
        <v>49</v>
      </c>
      <c r="F12" s="2" t="s">
        <v>41</v>
      </c>
      <c r="G12" s="2">
        <v>1</v>
      </c>
      <c r="H12" s="2">
        <v>18</v>
      </c>
      <c r="I12" s="47">
        <v>0</v>
      </c>
      <c r="J12" s="5">
        <v>1</v>
      </c>
      <c r="K12" s="4">
        <f t="shared" si="0"/>
        <v>0</v>
      </c>
    </row>
    <row r="13" spans="1:11" x14ac:dyDescent="0.25">
      <c r="A13" s="2" t="s">
        <v>50</v>
      </c>
      <c r="B13" s="2" t="s">
        <v>235</v>
      </c>
      <c r="C13" s="43">
        <v>2604</v>
      </c>
      <c r="D13" s="2" t="s">
        <v>40</v>
      </c>
      <c r="E13" s="3" t="s">
        <v>51</v>
      </c>
      <c r="F13" s="2" t="s">
        <v>41</v>
      </c>
      <c r="G13" s="2">
        <v>1</v>
      </c>
      <c r="H13" s="2">
        <v>18</v>
      </c>
      <c r="I13" s="47">
        <v>0</v>
      </c>
      <c r="J13" s="5">
        <v>1</v>
      </c>
      <c r="K13" s="4">
        <f t="shared" si="0"/>
        <v>0</v>
      </c>
    </row>
    <row r="14" spans="1:11" x14ac:dyDescent="0.25">
      <c r="A14" s="2" t="s">
        <v>52</v>
      </c>
      <c r="B14" s="2" t="s">
        <v>227</v>
      </c>
      <c r="C14" s="43">
        <v>2604</v>
      </c>
      <c r="D14" s="2" t="s">
        <v>40</v>
      </c>
      <c r="E14" s="3" t="s">
        <v>53</v>
      </c>
      <c r="F14" s="2" t="s">
        <v>41</v>
      </c>
      <c r="G14" s="2">
        <v>2</v>
      </c>
      <c r="H14" s="2">
        <v>18</v>
      </c>
      <c r="I14" s="47">
        <v>0</v>
      </c>
      <c r="J14" s="5">
        <v>1</v>
      </c>
      <c r="K14" s="4">
        <f t="shared" si="0"/>
        <v>0</v>
      </c>
    </row>
    <row r="15" spans="1:11" x14ac:dyDescent="0.25">
      <c r="A15" s="2" t="s">
        <v>54</v>
      </c>
      <c r="B15" s="2" t="s">
        <v>227</v>
      </c>
      <c r="C15" s="43">
        <v>2604</v>
      </c>
      <c r="D15" s="2" t="s">
        <v>40</v>
      </c>
      <c r="E15" s="3" t="s">
        <v>55</v>
      </c>
      <c r="F15" s="2" t="s">
        <v>41</v>
      </c>
      <c r="G15" s="2">
        <v>2</v>
      </c>
      <c r="H15" s="2">
        <v>18</v>
      </c>
      <c r="I15" s="47">
        <v>0</v>
      </c>
      <c r="J15" s="5">
        <v>1</v>
      </c>
      <c r="K15" s="4">
        <f t="shared" si="0"/>
        <v>0</v>
      </c>
    </row>
    <row r="16" spans="1:11" x14ac:dyDescent="0.25">
      <c r="A16" s="2" t="s">
        <v>267</v>
      </c>
      <c r="B16" s="2" t="s">
        <v>227</v>
      </c>
      <c r="C16" s="43">
        <v>2604</v>
      </c>
      <c r="D16" s="2" t="s">
        <v>40</v>
      </c>
      <c r="E16" s="3" t="s">
        <v>269</v>
      </c>
      <c r="F16" s="2" t="s">
        <v>41</v>
      </c>
      <c r="G16" s="2">
        <v>1</v>
      </c>
      <c r="H16" s="2">
        <v>18</v>
      </c>
      <c r="I16" s="47">
        <v>0</v>
      </c>
      <c r="J16" s="5">
        <v>1</v>
      </c>
      <c r="K16" s="4">
        <f>G16*H16*I16*J16</f>
        <v>0</v>
      </c>
    </row>
    <row r="17" spans="1:11" ht="15.75" x14ac:dyDescent="0.3">
      <c r="A17" s="70" t="s">
        <v>56</v>
      </c>
      <c r="B17" s="70"/>
      <c r="C17" s="70"/>
      <c r="D17" s="70"/>
      <c r="E17" s="70"/>
      <c r="F17" s="70"/>
      <c r="G17" s="70"/>
      <c r="H17" s="70"/>
      <c r="I17" s="70"/>
      <c r="J17" s="70"/>
      <c r="K17" s="11">
        <v>1000000</v>
      </c>
    </row>
    <row r="19" spans="1:11" ht="15.75" x14ac:dyDescent="0.25">
      <c r="A19" s="69" t="s">
        <v>57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</row>
    <row r="20" spans="1:11" ht="27" x14ac:dyDescent="0.25">
      <c r="A20" s="2" t="s">
        <v>58</v>
      </c>
      <c r="B20" s="2" t="s">
        <v>230</v>
      </c>
      <c r="C20" s="43">
        <v>2613</v>
      </c>
      <c r="D20" s="2" t="s">
        <v>59</v>
      </c>
      <c r="E20" s="3" t="s">
        <v>60</v>
      </c>
      <c r="F20" s="2" t="s">
        <v>61</v>
      </c>
      <c r="G20" s="2">
        <v>1</v>
      </c>
      <c r="H20" s="2">
        <v>1</v>
      </c>
      <c r="I20" s="47">
        <v>15087</v>
      </c>
      <c r="J20" s="5">
        <v>1</v>
      </c>
      <c r="K20" s="4">
        <f>G20*H20*I20*J20</f>
        <v>15087</v>
      </c>
    </row>
    <row r="21" spans="1:11" ht="27" x14ac:dyDescent="0.25">
      <c r="A21" s="2" t="s">
        <v>62</v>
      </c>
      <c r="B21" s="2" t="s">
        <v>230</v>
      </c>
      <c r="C21" s="43">
        <v>2615</v>
      </c>
      <c r="D21" s="2" t="s">
        <v>63</v>
      </c>
      <c r="E21" s="3" t="s">
        <v>64</v>
      </c>
      <c r="F21" s="2" t="s">
        <v>41</v>
      </c>
      <c r="G21" s="2">
        <v>16</v>
      </c>
      <c r="H21" s="2">
        <v>1</v>
      </c>
      <c r="I21" s="47">
        <v>3976.2</v>
      </c>
      <c r="J21" s="5">
        <v>1</v>
      </c>
      <c r="K21" s="4">
        <f>G21*H21*I21*J21</f>
        <v>63619.199999999997</v>
      </c>
    </row>
    <row r="22" spans="1:11" ht="27" x14ac:dyDescent="0.25">
      <c r="A22" s="2" t="s">
        <v>85</v>
      </c>
      <c r="B22" s="2" t="s">
        <v>259</v>
      </c>
      <c r="C22" s="43">
        <v>2601</v>
      </c>
      <c r="D22" s="2" t="s">
        <v>59</v>
      </c>
      <c r="E22" s="3" t="s">
        <v>260</v>
      </c>
      <c r="F22" s="2" t="s">
        <v>41</v>
      </c>
      <c r="G22" s="2">
        <v>1</v>
      </c>
      <c r="H22" s="2">
        <v>18</v>
      </c>
      <c r="I22" s="47">
        <v>3000</v>
      </c>
      <c r="J22" s="5">
        <v>0.3</v>
      </c>
      <c r="K22" s="4">
        <f>G22*H22*I22*J22</f>
        <v>16200</v>
      </c>
    </row>
    <row r="23" spans="1:11" ht="27" x14ac:dyDescent="0.25">
      <c r="A23" s="2" t="s">
        <v>261</v>
      </c>
      <c r="B23" s="2" t="s">
        <v>262</v>
      </c>
      <c r="C23" s="43">
        <v>2601</v>
      </c>
      <c r="D23" s="2" t="s">
        <v>59</v>
      </c>
      <c r="E23" s="3" t="s">
        <v>263</v>
      </c>
      <c r="F23" s="2" t="s">
        <v>41</v>
      </c>
      <c r="G23" s="2">
        <v>1</v>
      </c>
      <c r="H23" s="2">
        <v>18</v>
      </c>
      <c r="I23" s="47">
        <v>3000</v>
      </c>
      <c r="J23" s="5">
        <v>0.3</v>
      </c>
      <c r="K23" s="4">
        <f>G23*H23*I23*J23</f>
        <v>16200</v>
      </c>
    </row>
    <row r="24" spans="1:11" ht="27" x14ac:dyDescent="0.25">
      <c r="A24" s="2" t="s">
        <v>264</v>
      </c>
      <c r="B24" s="2" t="s">
        <v>265</v>
      </c>
      <c r="C24" s="43">
        <v>2601</v>
      </c>
      <c r="D24" s="2" t="s">
        <v>59</v>
      </c>
      <c r="E24" s="3" t="s">
        <v>266</v>
      </c>
      <c r="F24" s="2" t="s">
        <v>41</v>
      </c>
      <c r="G24" s="2">
        <v>1</v>
      </c>
      <c r="H24" s="2">
        <v>18</v>
      </c>
      <c r="I24" s="47">
        <v>3000</v>
      </c>
      <c r="J24" s="5">
        <v>0.3</v>
      </c>
      <c r="K24" s="4">
        <f>G24*H24*I24*J24</f>
        <v>16200</v>
      </c>
    </row>
    <row r="25" spans="1:11" ht="15.75" x14ac:dyDescent="0.3">
      <c r="A25" s="70" t="s">
        <v>65</v>
      </c>
      <c r="B25" s="70"/>
      <c r="C25" s="70"/>
      <c r="D25" s="70"/>
      <c r="E25" s="70"/>
      <c r="F25" s="70"/>
      <c r="G25" s="70"/>
      <c r="H25" s="70"/>
      <c r="I25" s="70"/>
      <c r="J25" s="70"/>
      <c r="K25" s="11">
        <f>SUM(K20:K24)</f>
        <v>127306.2</v>
      </c>
    </row>
    <row r="27" spans="1:11" ht="15.75" x14ac:dyDescent="0.25">
      <c r="A27" s="69" t="s">
        <v>66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</row>
    <row r="28" spans="1:11" ht="27" x14ac:dyDescent="0.25">
      <c r="A28" s="2" t="s">
        <v>155</v>
      </c>
      <c r="B28" s="2" t="s">
        <v>230</v>
      </c>
      <c r="C28" s="43">
        <v>2615</v>
      </c>
      <c r="D28" s="2" t="s">
        <v>40</v>
      </c>
      <c r="E28" s="3" t="s">
        <v>152</v>
      </c>
      <c r="F28" s="2" t="s">
        <v>41</v>
      </c>
      <c r="G28" s="2">
        <v>8</v>
      </c>
      <c r="H28" s="2">
        <v>17</v>
      </c>
      <c r="I28" s="47">
        <v>400</v>
      </c>
      <c r="J28" s="5">
        <v>1</v>
      </c>
      <c r="K28" s="4">
        <f>G28*H28*I28*J28</f>
        <v>54400</v>
      </c>
    </row>
    <row r="29" spans="1:11" ht="27" x14ac:dyDescent="0.25">
      <c r="A29" s="2" t="s">
        <v>153</v>
      </c>
      <c r="B29" s="2" t="s">
        <v>230</v>
      </c>
      <c r="C29" s="43">
        <v>2615</v>
      </c>
      <c r="D29" s="2" t="s">
        <v>40</v>
      </c>
      <c r="E29" s="3" t="s">
        <v>154</v>
      </c>
      <c r="F29" s="2" t="s">
        <v>41</v>
      </c>
      <c r="G29" s="2">
        <v>8</v>
      </c>
      <c r="H29" s="2">
        <v>12</v>
      </c>
      <c r="I29" s="47">
        <v>400</v>
      </c>
      <c r="J29" s="5">
        <v>1</v>
      </c>
      <c r="K29" s="4">
        <f>G29*H29*I29*J29</f>
        <v>38400</v>
      </c>
    </row>
    <row r="30" spans="1:11" ht="27" x14ac:dyDescent="0.25">
      <c r="A30" s="2" t="s">
        <v>67</v>
      </c>
      <c r="B30" s="2" t="s">
        <v>230</v>
      </c>
      <c r="C30" s="43">
        <v>2613</v>
      </c>
      <c r="D30" s="2" t="s">
        <v>40</v>
      </c>
      <c r="E30" s="3" t="s">
        <v>237</v>
      </c>
      <c r="F30" s="2" t="s">
        <v>41</v>
      </c>
      <c r="G30" s="2">
        <v>8</v>
      </c>
      <c r="H30" s="2">
        <v>3</v>
      </c>
      <c r="I30" s="47">
        <v>7000</v>
      </c>
      <c r="J30" s="5">
        <v>1</v>
      </c>
      <c r="K30" s="4">
        <f>G30*H30*I30*J30</f>
        <v>168000</v>
      </c>
    </row>
    <row r="31" spans="1:11" ht="15.75" x14ac:dyDescent="0.3">
      <c r="A31" s="70" t="s">
        <v>68</v>
      </c>
      <c r="B31" s="70"/>
      <c r="C31" s="70"/>
      <c r="D31" s="70"/>
      <c r="E31" s="70"/>
      <c r="F31" s="70"/>
      <c r="G31" s="70"/>
      <c r="H31" s="70"/>
      <c r="I31" s="70"/>
      <c r="J31" s="70"/>
      <c r="K31" s="11">
        <f>SUM(K28:K30)</f>
        <v>260800</v>
      </c>
    </row>
    <row r="33" spans="1:11" ht="15.75" x14ac:dyDescent="0.25">
      <c r="A33" s="69" t="s">
        <v>69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</row>
    <row r="34" spans="1:11" ht="27" x14ac:dyDescent="0.25">
      <c r="A34" s="2" t="s">
        <v>70</v>
      </c>
      <c r="B34" s="2" t="s">
        <v>230</v>
      </c>
      <c r="C34" s="43">
        <v>2611</v>
      </c>
      <c r="D34" s="2" t="s">
        <v>40</v>
      </c>
      <c r="E34" s="3" t="s">
        <v>71</v>
      </c>
      <c r="F34" s="2" t="s">
        <v>72</v>
      </c>
      <c r="G34" s="2">
        <v>1</v>
      </c>
      <c r="H34" s="2">
        <v>1</v>
      </c>
      <c r="I34" s="4">
        <v>500000</v>
      </c>
      <c r="J34" s="5">
        <v>1</v>
      </c>
      <c r="K34" s="4">
        <v>500000</v>
      </c>
    </row>
    <row r="35" spans="1:11" x14ac:dyDescent="0.25">
      <c r="A35" s="2" t="s">
        <v>73</v>
      </c>
      <c r="B35" s="2" t="s">
        <v>231</v>
      </c>
      <c r="C35" s="2">
        <v>2626</v>
      </c>
      <c r="D35" s="2" t="s">
        <v>40</v>
      </c>
      <c r="E35" s="3" t="s">
        <v>253</v>
      </c>
      <c r="F35" s="2" t="s">
        <v>41</v>
      </c>
      <c r="G35" s="2">
        <v>300</v>
      </c>
      <c r="H35" s="2">
        <v>3</v>
      </c>
      <c r="I35" s="47">
        <v>180</v>
      </c>
      <c r="J35" s="5">
        <v>1</v>
      </c>
      <c r="K35" s="4">
        <f>G35*H35*I35*J35</f>
        <v>162000</v>
      </c>
    </row>
    <row r="36" spans="1:11" ht="27" x14ac:dyDescent="0.25">
      <c r="A36" s="2" t="s">
        <v>74</v>
      </c>
      <c r="B36" s="2" t="s">
        <v>230</v>
      </c>
      <c r="C36" s="43">
        <v>2606</v>
      </c>
      <c r="D36" s="2" t="s">
        <v>40</v>
      </c>
      <c r="E36" s="3" t="s">
        <v>75</v>
      </c>
      <c r="F36" s="2" t="s">
        <v>238</v>
      </c>
      <c r="G36" s="2">
        <v>12</v>
      </c>
      <c r="H36" s="2">
        <v>1</v>
      </c>
      <c r="I36" s="47">
        <v>3750</v>
      </c>
      <c r="J36" s="5">
        <v>1</v>
      </c>
      <c r="K36" s="4">
        <f>G36*H36*I36*J36</f>
        <v>45000</v>
      </c>
    </row>
    <row r="37" spans="1:11" ht="15.75" x14ac:dyDescent="0.3">
      <c r="A37" s="70" t="s">
        <v>76</v>
      </c>
      <c r="B37" s="70"/>
      <c r="C37" s="70"/>
      <c r="D37" s="70"/>
      <c r="E37" s="70"/>
      <c r="F37" s="70"/>
      <c r="G37" s="70"/>
      <c r="H37" s="70"/>
      <c r="I37" s="70"/>
      <c r="J37" s="70"/>
      <c r="K37" s="11">
        <f>SUM(K34:K36)</f>
        <v>707000</v>
      </c>
    </row>
    <row r="39" spans="1:11" ht="15.75" x14ac:dyDescent="0.25">
      <c r="A39" s="69" t="s">
        <v>77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</row>
    <row r="40" spans="1:11" ht="27" x14ac:dyDescent="0.25">
      <c r="A40" s="2" t="s">
        <v>78</v>
      </c>
      <c r="B40" s="2" t="s">
        <v>230</v>
      </c>
      <c r="C40" s="43">
        <v>2610</v>
      </c>
      <c r="D40" s="2" t="s">
        <v>40</v>
      </c>
      <c r="E40" s="3" t="s">
        <v>79</v>
      </c>
      <c r="F40" s="2" t="s">
        <v>72</v>
      </c>
      <c r="G40" s="2">
        <v>1</v>
      </c>
      <c r="H40" s="2">
        <v>1</v>
      </c>
      <c r="I40" s="4">
        <v>198000</v>
      </c>
      <c r="J40" s="5">
        <v>1</v>
      </c>
      <c r="K40" s="4">
        <f>G40*H40*I40*J40</f>
        <v>198000</v>
      </c>
    </row>
    <row r="41" spans="1:11" ht="27" x14ac:dyDescent="0.25">
      <c r="A41" s="2" t="s">
        <v>80</v>
      </c>
      <c r="B41" s="2" t="s">
        <v>228</v>
      </c>
      <c r="C41" s="43">
        <v>2610</v>
      </c>
      <c r="D41" s="2" t="s">
        <v>40</v>
      </c>
      <c r="E41" s="3" t="s">
        <v>81</v>
      </c>
      <c r="F41" s="2" t="s">
        <v>61</v>
      </c>
      <c r="G41" s="2">
        <v>1</v>
      </c>
      <c r="H41" s="2">
        <v>1</v>
      </c>
      <c r="I41" s="47">
        <v>25000</v>
      </c>
      <c r="J41" s="5">
        <v>1</v>
      </c>
      <c r="K41" s="4">
        <f>G41*H41*I41*J41</f>
        <v>25000</v>
      </c>
    </row>
    <row r="42" spans="1:11" ht="15.75" x14ac:dyDescent="0.3">
      <c r="A42" s="70" t="s">
        <v>82</v>
      </c>
      <c r="B42" s="70"/>
      <c r="C42" s="70"/>
      <c r="D42" s="70"/>
      <c r="E42" s="70"/>
      <c r="F42" s="70"/>
      <c r="G42" s="70"/>
      <c r="H42" s="70"/>
      <c r="I42" s="70"/>
      <c r="J42" s="70"/>
      <c r="K42" s="11">
        <f>SUM(K40:K41)</f>
        <v>223000</v>
      </c>
    </row>
    <row r="44" spans="1:11" ht="15.75" x14ac:dyDescent="0.25">
      <c r="A44" s="69" t="s">
        <v>144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</row>
    <row r="45" spans="1:11" ht="27" x14ac:dyDescent="0.25">
      <c r="A45" s="2" t="s">
        <v>83</v>
      </c>
      <c r="B45" s="2" t="s">
        <v>227</v>
      </c>
      <c r="C45" s="43">
        <v>2612</v>
      </c>
      <c r="D45" s="2" t="s">
        <v>63</v>
      </c>
      <c r="E45" s="3" t="s">
        <v>84</v>
      </c>
      <c r="F45" s="2" t="s">
        <v>61</v>
      </c>
      <c r="G45" s="2">
        <v>1</v>
      </c>
      <c r="H45" s="2">
        <v>1</v>
      </c>
      <c r="I45" s="47">
        <v>30000</v>
      </c>
      <c r="J45" s="5">
        <v>1</v>
      </c>
      <c r="K45" s="4">
        <f>G45*H45*I45*J45</f>
        <v>30000</v>
      </c>
    </row>
    <row r="46" spans="1:11" ht="15.75" x14ac:dyDescent="0.3">
      <c r="A46" s="70" t="s">
        <v>145</v>
      </c>
      <c r="B46" s="70"/>
      <c r="C46" s="70"/>
      <c r="D46" s="70"/>
      <c r="E46" s="70"/>
      <c r="F46" s="70"/>
      <c r="G46" s="70"/>
      <c r="H46" s="70"/>
      <c r="I46" s="70"/>
      <c r="J46" s="70"/>
      <c r="K46" s="11">
        <f>SUM(K45:K45)</f>
        <v>30000</v>
      </c>
    </row>
    <row r="48" spans="1:11" ht="16.5" x14ac:dyDescent="0.3">
      <c r="A48" s="71" t="s">
        <v>86</v>
      </c>
      <c r="B48" s="71"/>
      <c r="C48" s="71"/>
      <c r="D48" s="71"/>
      <c r="E48" s="71"/>
      <c r="F48" s="71"/>
      <c r="G48" s="71"/>
      <c r="H48" s="71"/>
      <c r="I48" s="71"/>
      <c r="J48" s="71"/>
      <c r="K48" s="7">
        <f>K17+K25+K31+K37+K42+K46</f>
        <v>2348106.2000000002</v>
      </c>
    </row>
  </sheetData>
  <mergeCells count="15">
    <mergeCell ref="A39:K39"/>
    <mergeCell ref="A42:J42"/>
    <mergeCell ref="A44:K44"/>
    <mergeCell ref="A46:J46"/>
    <mergeCell ref="A48:J48"/>
    <mergeCell ref="A25:J25"/>
    <mergeCell ref="A27:K27"/>
    <mergeCell ref="A31:J31"/>
    <mergeCell ref="A33:K33"/>
    <mergeCell ref="A37:J37"/>
    <mergeCell ref="A1:K1"/>
    <mergeCell ref="A2:K2"/>
    <mergeCell ref="A6:K6"/>
    <mergeCell ref="A17:J17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K44"/>
  <sheetViews>
    <sheetView showGridLines="0" topLeftCell="C2" zoomScaleNormal="100" workbookViewId="0">
      <selection activeCell="E32" sqref="E32:E37"/>
    </sheetView>
  </sheetViews>
  <sheetFormatPr defaultColWidth="8.5703125" defaultRowHeight="15" x14ac:dyDescent="0.25"/>
  <cols>
    <col min="1" max="1" width="8" customWidth="1"/>
    <col min="2" max="2" width="12.85546875" bestFit="1" customWidth="1"/>
    <col min="3" max="3" width="17.85546875" bestFit="1" customWidth="1"/>
    <col min="4" max="4" width="25.42578125" bestFit="1" customWidth="1"/>
    <col min="5" max="5" width="49.7109375" bestFit="1" customWidth="1"/>
    <col min="6" max="7" width="10" customWidth="1"/>
    <col min="8" max="8" width="11.85546875" bestFit="1" customWidth="1"/>
    <col min="9" max="9" width="13" customWidth="1"/>
    <col min="10" max="10" width="11.7109375" bestFit="1" customWidth="1"/>
    <col min="11" max="11" width="16" customWidth="1"/>
  </cols>
  <sheetData>
    <row r="1" spans="1:11" ht="25.5" customHeight="1" x14ac:dyDescent="0.25">
      <c r="A1" s="66" t="s">
        <v>347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 x14ac:dyDescent="0.25">
      <c r="A2" s="68" t="s">
        <v>270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x14ac:dyDescent="0.25">
      <c r="A3" s="9" t="s">
        <v>23</v>
      </c>
      <c r="B3" s="9"/>
      <c r="C3" s="9"/>
      <c r="D3" s="10" t="s">
        <v>6</v>
      </c>
      <c r="H3" s="9" t="s">
        <v>24</v>
      </c>
      <c r="I3" s="10" t="s">
        <v>9</v>
      </c>
    </row>
    <row r="4" spans="1:11" x14ac:dyDescent="0.25">
      <c r="A4" s="9" t="s">
        <v>25</v>
      </c>
      <c r="B4" s="9"/>
      <c r="C4" s="9"/>
      <c r="D4" s="10" t="s">
        <v>26</v>
      </c>
      <c r="H4" s="9" t="s">
        <v>27</v>
      </c>
      <c r="I4" s="10" t="s">
        <v>12</v>
      </c>
    </row>
    <row r="5" spans="1:11" ht="30" customHeight="1" x14ac:dyDescent="0.25">
      <c r="A5" s="14" t="s">
        <v>28</v>
      </c>
      <c r="B5" s="14" t="s">
        <v>182</v>
      </c>
      <c r="C5" s="14" t="s">
        <v>233</v>
      </c>
      <c r="D5" s="14" t="s">
        <v>29</v>
      </c>
      <c r="E5" s="14" t="s">
        <v>30</v>
      </c>
      <c r="F5" s="14" t="s">
        <v>31</v>
      </c>
      <c r="G5" s="14" t="s">
        <v>32</v>
      </c>
      <c r="H5" s="15" t="s">
        <v>33</v>
      </c>
      <c r="I5" s="15" t="s">
        <v>34</v>
      </c>
      <c r="J5" s="14" t="s">
        <v>114</v>
      </c>
      <c r="K5" s="14" t="s">
        <v>36</v>
      </c>
    </row>
    <row r="6" spans="1:11" ht="15.75" x14ac:dyDescent="0.25">
      <c r="A6" s="80" t="s">
        <v>146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spans="1:11" ht="15" customHeight="1" x14ac:dyDescent="0.25">
      <c r="A7" s="16" t="s">
        <v>87</v>
      </c>
      <c r="B7" s="16" t="s">
        <v>239</v>
      </c>
      <c r="C7" s="44">
        <v>2603</v>
      </c>
      <c r="D7" s="16" t="s">
        <v>59</v>
      </c>
      <c r="E7" s="17" t="s">
        <v>88</v>
      </c>
      <c r="F7" s="16" t="s">
        <v>41</v>
      </c>
      <c r="G7" s="16">
        <v>1</v>
      </c>
      <c r="H7" s="16">
        <v>18</v>
      </c>
      <c r="I7" s="18">
        <v>0</v>
      </c>
      <c r="J7" s="19">
        <v>0.12</v>
      </c>
      <c r="K7" s="18">
        <f t="shared" ref="K7:K18" si="0">G7*H7*I7*J7</f>
        <v>0</v>
      </c>
    </row>
    <row r="8" spans="1:11" ht="15" customHeight="1" x14ac:dyDescent="0.25">
      <c r="A8" s="16" t="s">
        <v>89</v>
      </c>
      <c r="B8" s="16" t="s">
        <v>232</v>
      </c>
      <c r="C8" s="44">
        <v>2603</v>
      </c>
      <c r="D8" s="16" t="s">
        <v>59</v>
      </c>
      <c r="E8" s="17" t="s">
        <v>90</v>
      </c>
      <c r="F8" s="16" t="s">
        <v>41</v>
      </c>
      <c r="G8" s="16">
        <v>1</v>
      </c>
      <c r="H8" s="16">
        <v>18</v>
      </c>
      <c r="I8" s="18">
        <v>0</v>
      </c>
      <c r="J8" s="19">
        <v>0.18</v>
      </c>
      <c r="K8" s="18">
        <f t="shared" si="0"/>
        <v>0</v>
      </c>
    </row>
    <row r="9" spans="1:11" ht="15" customHeight="1" x14ac:dyDescent="0.25">
      <c r="A9" s="16" t="s">
        <v>91</v>
      </c>
      <c r="B9" s="16" t="s">
        <v>239</v>
      </c>
      <c r="C9" s="44">
        <v>2603</v>
      </c>
      <c r="D9" s="16" t="s">
        <v>59</v>
      </c>
      <c r="E9" s="17" t="s">
        <v>92</v>
      </c>
      <c r="F9" s="16" t="s">
        <v>41</v>
      </c>
      <c r="G9" s="16">
        <v>1</v>
      </c>
      <c r="H9" s="16">
        <v>18</v>
      </c>
      <c r="I9" s="57">
        <v>0</v>
      </c>
      <c r="J9" s="19">
        <v>0.22</v>
      </c>
      <c r="K9" s="18">
        <f t="shared" si="0"/>
        <v>0</v>
      </c>
    </row>
    <row r="10" spans="1:11" ht="15" customHeight="1" x14ac:dyDescent="0.25">
      <c r="A10" s="16" t="s">
        <v>93</v>
      </c>
      <c r="B10" s="16" t="s">
        <v>232</v>
      </c>
      <c r="C10" s="44">
        <v>2603</v>
      </c>
      <c r="D10" s="16" t="s">
        <v>59</v>
      </c>
      <c r="E10" s="17" t="s">
        <v>94</v>
      </c>
      <c r="F10" s="16" t="s">
        <v>41</v>
      </c>
      <c r="G10" s="16">
        <v>1</v>
      </c>
      <c r="H10" s="16">
        <v>18</v>
      </c>
      <c r="I10" s="57">
        <v>0</v>
      </c>
      <c r="J10" s="19">
        <v>0.2</v>
      </c>
      <c r="K10" s="18">
        <f t="shared" si="0"/>
        <v>0</v>
      </c>
    </row>
    <row r="11" spans="1:11" ht="15" customHeight="1" x14ac:dyDescent="0.25">
      <c r="A11" s="16" t="s">
        <v>95</v>
      </c>
      <c r="B11" s="16" t="s">
        <v>232</v>
      </c>
      <c r="C11" s="44">
        <v>2603</v>
      </c>
      <c r="D11" s="16" t="s">
        <v>59</v>
      </c>
      <c r="E11" s="17" t="s">
        <v>96</v>
      </c>
      <c r="F11" s="16" t="s">
        <v>41</v>
      </c>
      <c r="G11" s="16">
        <v>1</v>
      </c>
      <c r="H11" s="16">
        <v>18</v>
      </c>
      <c r="I11" s="57">
        <v>0</v>
      </c>
      <c r="J11" s="19">
        <v>0.28000000000000003</v>
      </c>
      <c r="K11" s="18">
        <f t="shared" si="0"/>
        <v>0</v>
      </c>
    </row>
    <row r="12" spans="1:11" ht="15" customHeight="1" x14ac:dyDescent="0.25">
      <c r="A12" s="16" t="s">
        <v>97</v>
      </c>
      <c r="B12" s="16" t="s">
        <v>232</v>
      </c>
      <c r="C12" s="44">
        <v>2603</v>
      </c>
      <c r="D12" s="16" t="s">
        <v>59</v>
      </c>
      <c r="E12" s="17" t="s">
        <v>98</v>
      </c>
      <c r="F12" s="16" t="s">
        <v>41</v>
      </c>
      <c r="G12" s="16">
        <v>1</v>
      </c>
      <c r="H12" s="16">
        <v>18</v>
      </c>
      <c r="I12" s="57">
        <v>0</v>
      </c>
      <c r="J12" s="19">
        <v>0.22</v>
      </c>
      <c r="K12" s="18">
        <f t="shared" si="0"/>
        <v>0</v>
      </c>
    </row>
    <row r="13" spans="1:11" ht="15" customHeight="1" x14ac:dyDescent="0.25">
      <c r="A13" s="16" t="s">
        <v>99</v>
      </c>
      <c r="B13" s="16" t="s">
        <v>239</v>
      </c>
      <c r="C13" s="44">
        <v>2603</v>
      </c>
      <c r="D13" s="16" t="s">
        <v>59</v>
      </c>
      <c r="E13" s="17" t="s">
        <v>100</v>
      </c>
      <c r="F13" s="16" t="s">
        <v>41</v>
      </c>
      <c r="G13" s="16">
        <v>1</v>
      </c>
      <c r="H13" s="16">
        <v>18</v>
      </c>
      <c r="I13" s="57">
        <v>0</v>
      </c>
      <c r="J13" s="19">
        <v>0.18</v>
      </c>
      <c r="K13" s="18">
        <f t="shared" si="0"/>
        <v>0</v>
      </c>
    </row>
    <row r="14" spans="1:11" ht="15" customHeight="1" x14ac:dyDescent="0.25">
      <c r="A14" s="16" t="s">
        <v>101</v>
      </c>
      <c r="B14" s="16" t="s">
        <v>239</v>
      </c>
      <c r="C14" s="44">
        <v>2603</v>
      </c>
      <c r="D14" s="16" t="s">
        <v>59</v>
      </c>
      <c r="E14" s="17" t="s">
        <v>115</v>
      </c>
      <c r="F14" s="16" t="s">
        <v>41</v>
      </c>
      <c r="G14" s="16">
        <v>1</v>
      </c>
      <c r="H14" s="16">
        <v>18</v>
      </c>
      <c r="I14" s="57">
        <v>0</v>
      </c>
      <c r="J14" s="19">
        <v>0.18</v>
      </c>
      <c r="K14" s="18">
        <f t="shared" si="0"/>
        <v>0</v>
      </c>
    </row>
    <row r="15" spans="1:11" ht="15" customHeight="1" x14ac:dyDescent="0.25">
      <c r="A15" s="16" t="s">
        <v>104</v>
      </c>
      <c r="B15" s="16" t="s">
        <v>232</v>
      </c>
      <c r="C15" s="44">
        <v>2603</v>
      </c>
      <c r="D15" s="16" t="s">
        <v>59</v>
      </c>
      <c r="E15" s="17" t="s">
        <v>116</v>
      </c>
      <c r="F15" s="16" t="s">
        <v>41</v>
      </c>
      <c r="G15" s="16">
        <v>1</v>
      </c>
      <c r="H15" s="16">
        <v>18</v>
      </c>
      <c r="I15" s="57">
        <v>0</v>
      </c>
      <c r="J15" s="19">
        <v>0.18</v>
      </c>
      <c r="K15" s="18">
        <f t="shared" si="0"/>
        <v>0</v>
      </c>
    </row>
    <row r="16" spans="1:11" ht="15" customHeight="1" x14ac:dyDescent="0.25">
      <c r="A16" s="16" t="s">
        <v>106</v>
      </c>
      <c r="B16" s="16" t="s">
        <v>239</v>
      </c>
      <c r="C16" s="44">
        <v>2603</v>
      </c>
      <c r="D16" s="16" t="s">
        <v>59</v>
      </c>
      <c r="E16" s="17" t="s">
        <v>147</v>
      </c>
      <c r="F16" s="16" t="s">
        <v>41</v>
      </c>
      <c r="G16" s="16">
        <v>1</v>
      </c>
      <c r="H16" s="16">
        <v>18</v>
      </c>
      <c r="I16" s="57">
        <v>0</v>
      </c>
      <c r="J16" s="19">
        <v>0.35</v>
      </c>
      <c r="K16" s="18">
        <f t="shared" si="0"/>
        <v>0</v>
      </c>
    </row>
    <row r="17" spans="1:11" ht="15" customHeight="1" x14ac:dyDescent="0.25">
      <c r="A17" s="16" t="s">
        <v>108</v>
      </c>
      <c r="B17" s="16" t="s">
        <v>239</v>
      </c>
      <c r="C17" s="44">
        <v>2603</v>
      </c>
      <c r="D17" s="16" t="s">
        <v>59</v>
      </c>
      <c r="E17" s="17" t="s">
        <v>148</v>
      </c>
      <c r="F17" s="16" t="s">
        <v>41</v>
      </c>
      <c r="G17" s="16">
        <v>1</v>
      </c>
      <c r="H17" s="16">
        <v>18</v>
      </c>
      <c r="I17" s="57">
        <v>0</v>
      </c>
      <c r="J17" s="19">
        <v>0.28000000000000003</v>
      </c>
      <c r="K17" s="18">
        <f t="shared" si="0"/>
        <v>0</v>
      </c>
    </row>
    <row r="18" spans="1:11" ht="15" customHeight="1" x14ac:dyDescent="0.25">
      <c r="A18" s="16" t="s">
        <v>110</v>
      </c>
      <c r="B18" s="16" t="s">
        <v>232</v>
      </c>
      <c r="C18" s="44">
        <v>2603</v>
      </c>
      <c r="D18" s="16" t="s">
        <v>59</v>
      </c>
      <c r="E18" s="17" t="s">
        <v>149</v>
      </c>
      <c r="F18" s="16" t="s">
        <v>41</v>
      </c>
      <c r="G18" s="16">
        <v>1</v>
      </c>
      <c r="H18" s="16">
        <v>18</v>
      </c>
      <c r="I18" s="57">
        <v>0</v>
      </c>
      <c r="J18" s="19">
        <v>0.35</v>
      </c>
      <c r="K18" s="18">
        <f t="shared" si="0"/>
        <v>0</v>
      </c>
    </row>
    <row r="19" spans="1:11" ht="15" customHeight="1" x14ac:dyDescent="0.25">
      <c r="A19" s="83" t="s">
        <v>117</v>
      </c>
      <c r="B19" s="83"/>
      <c r="C19" s="83"/>
      <c r="D19" s="83"/>
      <c r="E19" s="83"/>
      <c r="F19" s="83"/>
      <c r="G19" s="83"/>
      <c r="H19" s="83"/>
      <c r="I19" s="83"/>
      <c r="J19" s="83"/>
      <c r="K19" s="20">
        <f>SUM(K7:K18)</f>
        <v>0</v>
      </c>
    </row>
    <row r="20" spans="1:11" ht="6.9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15" customHeight="1" x14ac:dyDescent="0.25">
      <c r="A21" s="80" t="s">
        <v>118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2" spans="1:11" ht="15" customHeight="1" x14ac:dyDescent="0.25">
      <c r="A22" s="16" t="s">
        <v>119</v>
      </c>
      <c r="B22" s="16" t="s">
        <v>232</v>
      </c>
      <c r="C22" s="44">
        <v>2619</v>
      </c>
      <c r="D22" s="16" t="s">
        <v>59</v>
      </c>
      <c r="E22" s="17" t="s">
        <v>102</v>
      </c>
      <c r="F22" s="16" t="s">
        <v>103</v>
      </c>
      <c r="G22" s="16">
        <v>18</v>
      </c>
      <c r="H22" s="16">
        <v>1</v>
      </c>
      <c r="I22" s="57">
        <v>3000</v>
      </c>
      <c r="J22" s="19">
        <v>0.4</v>
      </c>
      <c r="K22" s="18">
        <f t="shared" ref="K22:K28" si="1">G22*H22*I22*J22</f>
        <v>21600</v>
      </c>
    </row>
    <row r="23" spans="1:11" ht="15" customHeight="1" x14ac:dyDescent="0.25">
      <c r="A23" s="16" t="s">
        <v>120</v>
      </c>
      <c r="B23" s="16" t="s">
        <v>232</v>
      </c>
      <c r="C23" s="44">
        <v>2609</v>
      </c>
      <c r="D23" s="16" t="s">
        <v>59</v>
      </c>
      <c r="E23" s="17" t="s">
        <v>105</v>
      </c>
      <c r="F23" s="16" t="s">
        <v>61</v>
      </c>
      <c r="G23" s="16">
        <v>1</v>
      </c>
      <c r="H23" s="16">
        <v>1</v>
      </c>
      <c r="I23" s="57">
        <v>30000</v>
      </c>
      <c r="J23" s="19">
        <v>0.4</v>
      </c>
      <c r="K23" s="18">
        <f t="shared" si="1"/>
        <v>12000</v>
      </c>
    </row>
    <row r="24" spans="1:11" ht="15" customHeight="1" x14ac:dyDescent="0.25">
      <c r="A24" s="16" t="s">
        <v>121</v>
      </c>
      <c r="B24" s="16" t="s">
        <v>232</v>
      </c>
      <c r="C24" s="44">
        <v>2618</v>
      </c>
      <c r="D24" s="16" t="s">
        <v>59</v>
      </c>
      <c r="E24" s="17" t="s">
        <v>122</v>
      </c>
      <c r="F24" s="16" t="s">
        <v>103</v>
      </c>
      <c r="G24" s="16">
        <v>18</v>
      </c>
      <c r="H24" s="16">
        <v>1</v>
      </c>
      <c r="I24" s="57">
        <v>1000</v>
      </c>
      <c r="J24" s="19">
        <v>0.5</v>
      </c>
      <c r="K24" s="18">
        <f t="shared" si="1"/>
        <v>9000</v>
      </c>
    </row>
    <row r="25" spans="1:11" ht="15" customHeight="1" x14ac:dyDescent="0.25">
      <c r="A25" s="16" t="s">
        <v>123</v>
      </c>
      <c r="B25" s="16" t="s">
        <v>232</v>
      </c>
      <c r="C25" s="44">
        <v>2625</v>
      </c>
      <c r="D25" s="16" t="s">
        <v>59</v>
      </c>
      <c r="E25" s="17" t="s">
        <v>124</v>
      </c>
      <c r="F25" s="16" t="s">
        <v>268</v>
      </c>
      <c r="G25" s="16">
        <v>22</v>
      </c>
      <c r="H25" s="16">
        <v>18</v>
      </c>
      <c r="I25" s="57">
        <v>20</v>
      </c>
      <c r="J25" s="19">
        <v>1</v>
      </c>
      <c r="K25" s="18">
        <f t="shared" si="1"/>
        <v>7920</v>
      </c>
    </row>
    <row r="26" spans="1:11" ht="15" customHeight="1" x14ac:dyDescent="0.25">
      <c r="A26" s="16" t="s">
        <v>125</v>
      </c>
      <c r="B26" s="16" t="s">
        <v>232</v>
      </c>
      <c r="C26" s="44">
        <v>2624</v>
      </c>
      <c r="D26" s="16" t="s">
        <v>59</v>
      </c>
      <c r="E26" s="17" t="s">
        <v>107</v>
      </c>
      <c r="F26" s="16" t="s">
        <v>61</v>
      </c>
      <c r="G26" s="16">
        <v>1</v>
      </c>
      <c r="H26" s="16">
        <v>1</v>
      </c>
      <c r="I26" s="57">
        <v>12000</v>
      </c>
      <c r="J26" s="19">
        <v>0.4</v>
      </c>
      <c r="K26" s="18">
        <f t="shared" si="1"/>
        <v>4800</v>
      </c>
    </row>
    <row r="27" spans="1:11" ht="15" customHeight="1" x14ac:dyDescent="0.25">
      <c r="A27" s="16" t="s">
        <v>126</v>
      </c>
      <c r="B27" s="16" t="s">
        <v>232</v>
      </c>
      <c r="C27" s="16">
        <v>2627</v>
      </c>
      <c r="D27" s="16" t="s">
        <v>59</v>
      </c>
      <c r="E27" s="17" t="s">
        <v>109</v>
      </c>
      <c r="F27" s="16" t="s">
        <v>61</v>
      </c>
      <c r="G27" s="16">
        <v>1</v>
      </c>
      <c r="H27" s="16">
        <v>1</v>
      </c>
      <c r="I27" s="57">
        <v>30000</v>
      </c>
      <c r="J27" s="19">
        <v>0.35</v>
      </c>
      <c r="K27" s="18">
        <f t="shared" si="1"/>
        <v>10500</v>
      </c>
    </row>
    <row r="28" spans="1:11" ht="15" customHeight="1" x14ac:dyDescent="0.25">
      <c r="A28" s="16" t="s">
        <v>255</v>
      </c>
      <c r="B28" s="16" t="s">
        <v>227</v>
      </c>
      <c r="C28" s="16">
        <v>2619</v>
      </c>
      <c r="D28" s="16" t="s">
        <v>40</v>
      </c>
      <c r="E28" s="17" t="s">
        <v>256</v>
      </c>
      <c r="F28" s="16" t="s">
        <v>103</v>
      </c>
      <c r="G28" s="16">
        <v>18</v>
      </c>
      <c r="H28" s="16">
        <v>1</v>
      </c>
      <c r="I28" s="57">
        <v>15000</v>
      </c>
      <c r="J28" s="19">
        <v>0.2</v>
      </c>
      <c r="K28" s="18">
        <f t="shared" si="1"/>
        <v>54000</v>
      </c>
    </row>
    <row r="29" spans="1:11" ht="15" customHeight="1" x14ac:dyDescent="0.25">
      <c r="A29" s="83" t="s">
        <v>127</v>
      </c>
      <c r="B29" s="83"/>
      <c r="C29" s="83"/>
      <c r="D29" s="83"/>
      <c r="E29" s="83"/>
      <c r="F29" s="83"/>
      <c r="G29" s="83"/>
      <c r="H29" s="83"/>
      <c r="I29" s="83"/>
      <c r="J29" s="83"/>
      <c r="K29" s="20">
        <f>SUM(K22:K28)</f>
        <v>119820</v>
      </c>
    </row>
    <row r="30" spans="1:11" ht="6.9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</row>
    <row r="31" spans="1:11" ht="15" customHeight="1" x14ac:dyDescent="0.25">
      <c r="A31" s="80" t="s">
        <v>128</v>
      </c>
      <c r="B31" s="80"/>
      <c r="C31" s="80"/>
      <c r="D31" s="80"/>
      <c r="E31" s="82"/>
      <c r="F31" s="80"/>
      <c r="G31" s="80"/>
      <c r="H31" s="80"/>
      <c r="I31" s="80"/>
      <c r="J31" s="80"/>
      <c r="K31" s="80"/>
    </row>
    <row r="32" spans="1:11" ht="15" customHeight="1" x14ac:dyDescent="0.25">
      <c r="A32" s="16" t="s">
        <v>129</v>
      </c>
      <c r="B32" s="16" t="s">
        <v>232</v>
      </c>
      <c r="C32" s="44">
        <v>2622</v>
      </c>
      <c r="D32" s="16" t="s">
        <v>59</v>
      </c>
      <c r="E32" s="17" t="s">
        <v>111</v>
      </c>
      <c r="F32" s="16" t="s">
        <v>61</v>
      </c>
      <c r="G32" s="16">
        <v>1</v>
      </c>
      <c r="H32" s="16">
        <v>1</v>
      </c>
      <c r="I32" s="57">
        <v>18000</v>
      </c>
      <c r="J32" s="19">
        <v>1</v>
      </c>
      <c r="K32" s="18">
        <f>G32*H32*I32*J32</f>
        <v>18000</v>
      </c>
    </row>
    <row r="33" spans="1:11" ht="15" customHeight="1" x14ac:dyDescent="0.25">
      <c r="A33" s="16" t="s">
        <v>130</v>
      </c>
      <c r="B33" s="16" t="s">
        <v>232</v>
      </c>
      <c r="C33" s="44">
        <v>2623</v>
      </c>
      <c r="D33" s="16" t="s">
        <v>59</v>
      </c>
      <c r="E33" s="17" t="s">
        <v>131</v>
      </c>
      <c r="F33" s="16" t="s">
        <v>61</v>
      </c>
      <c r="G33" s="16">
        <v>1</v>
      </c>
      <c r="H33" s="16">
        <v>1</v>
      </c>
      <c r="I33" s="57">
        <v>11000</v>
      </c>
      <c r="J33" s="19">
        <v>1</v>
      </c>
      <c r="K33" s="18">
        <f>G33*H33*I33*J33</f>
        <v>11000</v>
      </c>
    </row>
    <row r="34" spans="1:11" ht="15" customHeight="1" x14ac:dyDescent="0.25">
      <c r="A34" s="16" t="s">
        <v>132</v>
      </c>
      <c r="B34" s="16" t="s">
        <v>232</v>
      </c>
      <c r="C34" s="16">
        <v>2623</v>
      </c>
      <c r="D34" s="16" t="s">
        <v>59</v>
      </c>
      <c r="E34" s="17" t="s">
        <v>133</v>
      </c>
      <c r="F34" s="16" t="s">
        <v>61</v>
      </c>
      <c r="G34" s="16">
        <v>1</v>
      </c>
      <c r="H34" s="16">
        <v>1</v>
      </c>
      <c r="I34" s="57">
        <v>5000</v>
      </c>
      <c r="J34" s="19">
        <v>0</v>
      </c>
      <c r="K34" s="18">
        <f>G34*H34*I34*J34</f>
        <v>0</v>
      </c>
    </row>
    <row r="35" spans="1:11" ht="15" customHeight="1" x14ac:dyDescent="0.25">
      <c r="A35" s="16" t="s">
        <v>134</v>
      </c>
      <c r="B35" s="16" t="s">
        <v>232</v>
      </c>
      <c r="C35" s="44">
        <v>2615</v>
      </c>
      <c r="D35" s="16" t="s">
        <v>59</v>
      </c>
      <c r="E35" s="17" t="s">
        <v>135</v>
      </c>
      <c r="F35" s="16" t="s">
        <v>61</v>
      </c>
      <c r="G35" s="16">
        <v>1</v>
      </c>
      <c r="H35" s="16">
        <v>1</v>
      </c>
      <c r="I35" s="57">
        <v>7500</v>
      </c>
      <c r="J35" s="19">
        <v>1</v>
      </c>
      <c r="K35" s="18">
        <f>G35*H35*I35*J35</f>
        <v>7500</v>
      </c>
    </row>
    <row r="36" spans="1:11" ht="15" customHeight="1" x14ac:dyDescent="0.25">
      <c r="A36" s="16" t="s">
        <v>137</v>
      </c>
      <c r="B36" s="16" t="s">
        <v>232</v>
      </c>
      <c r="C36" s="44">
        <v>2624</v>
      </c>
      <c r="D36" s="16" t="s">
        <v>59</v>
      </c>
      <c r="E36" s="17" t="s">
        <v>138</v>
      </c>
      <c r="F36" s="16" t="s">
        <v>61</v>
      </c>
      <c r="G36" s="16">
        <v>1</v>
      </c>
      <c r="H36" s="16">
        <v>1</v>
      </c>
      <c r="I36" s="57">
        <v>15000</v>
      </c>
      <c r="J36" s="19">
        <v>0</v>
      </c>
      <c r="K36" s="18">
        <f>G36*H36*I36*J36</f>
        <v>0</v>
      </c>
    </row>
    <row r="37" spans="1:11" ht="15" customHeight="1" x14ac:dyDescent="0.25">
      <c r="A37" s="16" t="s">
        <v>139</v>
      </c>
      <c r="B37" s="16" t="s">
        <v>232</v>
      </c>
      <c r="C37" s="16">
        <v>2628</v>
      </c>
      <c r="D37" s="16" t="s">
        <v>140</v>
      </c>
      <c r="E37" s="17" t="s">
        <v>141</v>
      </c>
      <c r="F37" s="16" t="s">
        <v>61</v>
      </c>
      <c r="G37" s="16">
        <v>1</v>
      </c>
      <c r="H37" s="16">
        <v>1</v>
      </c>
      <c r="I37" s="18"/>
      <c r="J37" s="21"/>
      <c r="K37" s="18">
        <f>MAX(0,$K$43-(K19+K29+SUM(K32:K36)))</f>
        <v>195895.93</v>
      </c>
    </row>
    <row r="38" spans="1:11" ht="15" customHeight="1" x14ac:dyDescent="0.25">
      <c r="A38" s="83" t="s">
        <v>142</v>
      </c>
      <c r="B38" s="83"/>
      <c r="C38" s="83"/>
      <c r="D38" s="83"/>
      <c r="E38" s="83"/>
      <c r="F38" s="83"/>
      <c r="G38" s="83"/>
      <c r="H38" s="83"/>
      <c r="I38" s="83"/>
      <c r="J38" s="83"/>
      <c r="K38" s="20">
        <f>SUM(K32:K37)</f>
        <v>232395.93</v>
      </c>
    </row>
    <row r="39" spans="1:11" ht="6.9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5" x14ac:dyDescent="0.25">
      <c r="A40" s="84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22">
        <f>K19+K29+K38</f>
        <v>352215.93</v>
      </c>
    </row>
    <row r="41" spans="1:11" ht="6.9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81" t="s">
        <v>151</v>
      </c>
      <c r="B42" s="81"/>
      <c r="C42" s="81"/>
      <c r="D42" s="81"/>
      <c r="E42" s="81"/>
      <c r="F42" s="81"/>
      <c r="G42" s="81"/>
      <c r="H42" s="81"/>
      <c r="I42" s="81"/>
      <c r="J42" s="81"/>
      <c r="K42" s="25">
        <v>1.41</v>
      </c>
    </row>
    <row r="43" spans="1:11" x14ac:dyDescent="0.25">
      <c r="A43" s="81" t="s">
        <v>143</v>
      </c>
      <c r="B43" s="81"/>
      <c r="C43" s="81"/>
      <c r="D43" s="81"/>
      <c r="E43" s="81"/>
      <c r="F43" s="81"/>
      <c r="G43" s="81"/>
      <c r="H43" s="81"/>
      <c r="I43" s="81"/>
      <c r="J43" s="23">
        <v>0.15</v>
      </c>
      <c r="K43" s="24">
        <f>J43*'Direct Cost'!K48</f>
        <v>352215.93</v>
      </c>
    </row>
    <row r="44" spans="1:11" x14ac:dyDescent="0.25">
      <c r="A44" s="81" t="s">
        <v>113</v>
      </c>
      <c r="B44" s="81"/>
      <c r="C44" s="81"/>
      <c r="D44" s="81"/>
      <c r="E44" s="81"/>
      <c r="F44" s="81"/>
      <c r="G44" s="81"/>
      <c r="H44" s="81"/>
      <c r="I44" s="81"/>
      <c r="J44" s="81"/>
      <c r="K44" s="26">
        <f>K40/'Direct Cost'!K48</f>
        <v>0.15</v>
      </c>
    </row>
  </sheetData>
  <mergeCells count="12">
    <mergeCell ref="A1:K1"/>
    <mergeCell ref="A2:K2"/>
    <mergeCell ref="A6:K6"/>
    <mergeCell ref="A43:I43"/>
    <mergeCell ref="A44:J44"/>
    <mergeCell ref="A31:K31"/>
    <mergeCell ref="A19:J19"/>
    <mergeCell ref="A29:J29"/>
    <mergeCell ref="A38:J38"/>
    <mergeCell ref="A42:J42"/>
    <mergeCell ref="A40:J40"/>
    <mergeCell ref="A21:K2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2806-BE7A-4B9A-9951-F49C50E4225B}">
  <sheetPr>
    <tabColor rgb="FFD31245"/>
  </sheetPr>
  <dimension ref="A1:E67"/>
  <sheetViews>
    <sheetView workbookViewId="0">
      <pane ySplit="2" topLeftCell="A14" activePane="bottomLeft" state="frozen"/>
      <selection activeCell="B1" sqref="B1"/>
      <selection pane="bottomLeft" activeCell="E26" sqref="E26"/>
    </sheetView>
  </sheetViews>
  <sheetFormatPr defaultRowHeight="15" x14ac:dyDescent="0.25"/>
  <cols>
    <col min="1" max="1" width="8.42578125" customWidth="1"/>
    <col min="2" max="2" width="40.85546875" customWidth="1"/>
    <col min="3" max="3" width="17.28515625" hidden="1" customWidth="1"/>
    <col min="4" max="4" width="45.42578125" hidden="1" customWidth="1"/>
    <col min="5" max="5" width="72.7109375" customWidth="1"/>
  </cols>
  <sheetData>
    <row r="1" spans="1:5" ht="30" customHeight="1" x14ac:dyDescent="0.25">
      <c r="A1" s="85" t="s">
        <v>348</v>
      </c>
      <c r="B1" s="85"/>
      <c r="C1" s="85"/>
      <c r="D1" s="85"/>
      <c r="E1" s="85"/>
    </row>
    <row r="2" spans="1:5" x14ac:dyDescent="0.25">
      <c r="A2" s="30" t="s">
        <v>28</v>
      </c>
      <c r="B2" s="30" t="s">
        <v>156</v>
      </c>
      <c r="C2" s="30" t="s">
        <v>16</v>
      </c>
      <c r="D2" s="30" t="s">
        <v>157</v>
      </c>
      <c r="E2" s="30" t="s">
        <v>37</v>
      </c>
    </row>
    <row r="3" spans="1:5" ht="16.5" x14ac:dyDescent="0.25">
      <c r="A3" s="86" t="s">
        <v>158</v>
      </c>
      <c r="B3" s="86"/>
      <c r="C3" s="86"/>
      <c r="D3" s="87"/>
      <c r="E3" s="87"/>
    </row>
    <row r="4" spans="1:5" x14ac:dyDescent="0.25">
      <c r="A4" s="88" t="s">
        <v>38</v>
      </c>
      <c r="B4" s="88"/>
      <c r="C4" s="88"/>
      <c r="D4" s="89"/>
      <c r="E4" s="89"/>
    </row>
    <row r="5" spans="1:5" ht="27" x14ac:dyDescent="0.25">
      <c r="A5" s="31" t="s">
        <v>39</v>
      </c>
      <c r="B5" s="32" t="s">
        <v>252</v>
      </c>
      <c r="C5" s="61">
        <f>'Direct Cost'!K7</f>
        <v>0</v>
      </c>
      <c r="D5" s="33" t="s">
        <v>159</v>
      </c>
      <c r="E5" s="33" t="s">
        <v>271</v>
      </c>
    </row>
    <row r="6" spans="1:5" ht="27" x14ac:dyDescent="0.25">
      <c r="A6" s="31" t="s">
        <v>42</v>
      </c>
      <c r="B6" s="32" t="s">
        <v>43</v>
      </c>
      <c r="C6" s="61">
        <f>'Direct Cost'!K8</f>
        <v>0</v>
      </c>
      <c r="D6" s="33" t="s">
        <v>160</v>
      </c>
      <c r="E6" s="33" t="s">
        <v>272</v>
      </c>
    </row>
    <row r="7" spans="1:5" ht="27" x14ac:dyDescent="0.25">
      <c r="A7" s="31" t="s">
        <v>44</v>
      </c>
      <c r="B7" s="32" t="s">
        <v>45</v>
      </c>
      <c r="C7" s="61">
        <f>'Direct Cost'!K9</f>
        <v>0</v>
      </c>
      <c r="D7" s="33" t="s">
        <v>160</v>
      </c>
      <c r="E7" s="33" t="s">
        <v>273</v>
      </c>
    </row>
    <row r="8" spans="1:5" ht="27" x14ac:dyDescent="0.25">
      <c r="A8" s="31" t="s">
        <v>46</v>
      </c>
      <c r="B8" s="32" t="s">
        <v>258</v>
      </c>
      <c r="C8" s="61">
        <f>'Direct Cost'!K10</f>
        <v>0</v>
      </c>
      <c r="D8" s="33" t="s">
        <v>274</v>
      </c>
      <c r="E8" s="33" t="s">
        <v>275</v>
      </c>
    </row>
    <row r="9" spans="1:5" ht="27" x14ac:dyDescent="0.25">
      <c r="A9" s="31" t="s">
        <v>47</v>
      </c>
      <c r="B9" s="32" t="s">
        <v>257</v>
      </c>
      <c r="C9" s="61">
        <f>'Direct Cost'!K11</f>
        <v>0</v>
      </c>
      <c r="D9" s="33" t="s">
        <v>274</v>
      </c>
      <c r="E9" s="33" t="s">
        <v>276</v>
      </c>
    </row>
    <row r="10" spans="1:5" ht="27" x14ac:dyDescent="0.25">
      <c r="A10" s="31" t="s">
        <v>48</v>
      </c>
      <c r="B10" s="32" t="s">
        <v>49</v>
      </c>
      <c r="C10" s="61">
        <f>'Direct Cost'!K12</f>
        <v>0</v>
      </c>
      <c r="D10" s="33" t="s">
        <v>161</v>
      </c>
      <c r="E10" s="33" t="s">
        <v>277</v>
      </c>
    </row>
    <row r="11" spans="1:5" ht="27" x14ac:dyDescent="0.25">
      <c r="A11" s="31" t="s">
        <v>50</v>
      </c>
      <c r="B11" s="32" t="s">
        <v>51</v>
      </c>
      <c r="C11" s="61">
        <f>'Direct Cost'!K13</f>
        <v>0</v>
      </c>
      <c r="D11" s="33" t="s">
        <v>162</v>
      </c>
      <c r="E11" s="33" t="s">
        <v>278</v>
      </c>
    </row>
    <row r="12" spans="1:5" x14ac:dyDescent="0.25">
      <c r="A12" s="31" t="s">
        <v>52</v>
      </c>
      <c r="B12" s="32" t="s">
        <v>53</v>
      </c>
      <c r="C12" s="61">
        <f>'Direct Cost'!K14</f>
        <v>0</v>
      </c>
      <c r="D12" s="33" t="s">
        <v>163</v>
      </c>
      <c r="E12" s="33" t="s">
        <v>279</v>
      </c>
    </row>
    <row r="13" spans="1:5" ht="27" x14ac:dyDescent="0.25">
      <c r="A13" s="31" t="s">
        <v>54</v>
      </c>
      <c r="B13" s="32" t="s">
        <v>55</v>
      </c>
      <c r="C13" s="61">
        <f>'Direct Cost'!K15</f>
        <v>0</v>
      </c>
      <c r="D13" s="33" t="s">
        <v>164</v>
      </c>
      <c r="E13" s="33" t="s">
        <v>280</v>
      </c>
    </row>
    <row r="14" spans="1:5" ht="27" x14ac:dyDescent="0.25">
      <c r="A14" s="31" t="s">
        <v>267</v>
      </c>
      <c r="B14" s="32" t="s">
        <v>254</v>
      </c>
      <c r="C14" s="61">
        <f>'Direct Cost'!K16</f>
        <v>0</v>
      </c>
      <c r="D14" s="33" t="s">
        <v>160</v>
      </c>
      <c r="E14" s="33" t="s">
        <v>281</v>
      </c>
    </row>
    <row r="15" spans="1:5" x14ac:dyDescent="0.25">
      <c r="A15" s="90" t="s">
        <v>57</v>
      </c>
      <c r="B15" s="88"/>
      <c r="C15" s="91"/>
      <c r="D15" s="89"/>
      <c r="E15" s="89"/>
    </row>
    <row r="16" spans="1:5" ht="27" x14ac:dyDescent="0.25">
      <c r="A16" s="31" t="s">
        <v>58</v>
      </c>
      <c r="B16" s="32" t="s">
        <v>60</v>
      </c>
      <c r="C16" s="61">
        <f>'Direct Cost'!K20</f>
        <v>15087</v>
      </c>
      <c r="D16" s="33" t="s">
        <v>165</v>
      </c>
      <c r="E16" s="33" t="s">
        <v>282</v>
      </c>
    </row>
    <row r="17" spans="1:5" ht="27" x14ac:dyDescent="0.25">
      <c r="A17" s="31" t="s">
        <v>62</v>
      </c>
      <c r="B17" s="32" t="s">
        <v>64</v>
      </c>
      <c r="C17" s="61">
        <f>'Direct Cost'!K21</f>
        <v>63619.199999999997</v>
      </c>
      <c r="D17" s="33" t="s">
        <v>166</v>
      </c>
      <c r="E17" s="33" t="s">
        <v>283</v>
      </c>
    </row>
    <row r="18" spans="1:5" ht="27" x14ac:dyDescent="0.25">
      <c r="A18" s="31" t="s">
        <v>85</v>
      </c>
      <c r="B18" s="32" t="s">
        <v>260</v>
      </c>
      <c r="C18" s="61">
        <f>'Direct Cost'!K22</f>
        <v>16200</v>
      </c>
      <c r="D18" s="33" t="s">
        <v>284</v>
      </c>
      <c r="E18" s="33" t="s">
        <v>285</v>
      </c>
    </row>
    <row r="19" spans="1:5" ht="27" x14ac:dyDescent="0.25">
      <c r="A19" s="31" t="s">
        <v>261</v>
      </c>
      <c r="B19" s="32" t="s">
        <v>263</v>
      </c>
      <c r="C19" s="61">
        <f>'Direct Cost'!K23</f>
        <v>16200</v>
      </c>
      <c r="D19" s="33" t="s">
        <v>284</v>
      </c>
      <c r="E19" s="33" t="s">
        <v>286</v>
      </c>
    </row>
    <row r="20" spans="1:5" x14ac:dyDescent="0.25">
      <c r="A20" s="31" t="s">
        <v>264</v>
      </c>
      <c r="B20" s="32" t="s">
        <v>266</v>
      </c>
      <c r="C20" s="61">
        <f>'Direct Cost'!K24</f>
        <v>16200</v>
      </c>
      <c r="D20" s="33" t="s">
        <v>284</v>
      </c>
      <c r="E20" s="33" t="s">
        <v>287</v>
      </c>
    </row>
    <row r="21" spans="1:5" x14ac:dyDescent="0.25">
      <c r="A21" s="90" t="s">
        <v>66</v>
      </c>
      <c r="B21" s="88"/>
      <c r="C21" s="91"/>
      <c r="D21" s="89"/>
      <c r="E21" s="89"/>
    </row>
    <row r="22" spans="1:5" ht="27" x14ac:dyDescent="0.25">
      <c r="A22" s="31" t="s">
        <v>155</v>
      </c>
      <c r="B22" s="32" t="s">
        <v>152</v>
      </c>
      <c r="C22" s="61">
        <f>'Direct Cost'!K28</f>
        <v>54400</v>
      </c>
      <c r="D22" s="33" t="s">
        <v>167</v>
      </c>
      <c r="E22" s="33" t="s">
        <v>288</v>
      </c>
    </row>
    <row r="23" spans="1:5" x14ac:dyDescent="0.25">
      <c r="A23" s="31" t="s">
        <v>153</v>
      </c>
      <c r="B23" s="32" t="s">
        <v>154</v>
      </c>
      <c r="C23" s="61">
        <f>'Direct Cost'!K29</f>
        <v>38400</v>
      </c>
      <c r="D23" s="33" t="s">
        <v>168</v>
      </c>
      <c r="E23" s="33" t="s">
        <v>289</v>
      </c>
    </row>
    <row r="24" spans="1:5" ht="27" x14ac:dyDescent="0.25">
      <c r="A24" s="31" t="s">
        <v>67</v>
      </c>
      <c r="B24" s="32" t="s">
        <v>290</v>
      </c>
      <c r="C24" s="61">
        <f>'Direct Cost'!K30</f>
        <v>168000</v>
      </c>
      <c r="D24" s="33" t="s">
        <v>291</v>
      </c>
      <c r="E24" s="33" t="s">
        <v>292</v>
      </c>
    </row>
    <row r="25" spans="1:5" x14ac:dyDescent="0.25">
      <c r="A25" s="90" t="s">
        <v>69</v>
      </c>
      <c r="B25" s="88"/>
      <c r="C25" s="91"/>
      <c r="D25" s="89"/>
      <c r="E25" s="89"/>
    </row>
    <row r="26" spans="1:5" ht="27" x14ac:dyDescent="0.25">
      <c r="A26" s="31" t="s">
        <v>70</v>
      </c>
      <c r="B26" s="32" t="s">
        <v>71</v>
      </c>
      <c r="C26" s="61">
        <f>'Direct Cost'!K34</f>
        <v>500000</v>
      </c>
      <c r="D26" s="33" t="s">
        <v>293</v>
      </c>
      <c r="E26" s="33" t="s">
        <v>294</v>
      </c>
    </row>
    <row r="27" spans="1:5" ht="27" x14ac:dyDescent="0.25">
      <c r="A27" s="31" t="s">
        <v>73</v>
      </c>
      <c r="B27" s="32" t="s">
        <v>253</v>
      </c>
      <c r="C27" s="61">
        <f>'Direct Cost'!K35</f>
        <v>162000</v>
      </c>
      <c r="D27" s="33" t="s">
        <v>295</v>
      </c>
      <c r="E27" s="33" t="s">
        <v>296</v>
      </c>
    </row>
    <row r="28" spans="1:5" ht="27" x14ac:dyDescent="0.25">
      <c r="A28" s="31" t="s">
        <v>74</v>
      </c>
      <c r="B28" s="32" t="s">
        <v>75</v>
      </c>
      <c r="C28" s="61">
        <f>'Direct Cost'!K36</f>
        <v>45000</v>
      </c>
      <c r="D28" s="33" t="s">
        <v>297</v>
      </c>
      <c r="E28" s="33" t="s">
        <v>298</v>
      </c>
    </row>
    <row r="29" spans="1:5" x14ac:dyDescent="0.25">
      <c r="A29" s="90" t="s">
        <v>77</v>
      </c>
      <c r="B29" s="88"/>
      <c r="C29" s="91"/>
      <c r="D29" s="89"/>
      <c r="E29" s="89"/>
    </row>
    <row r="30" spans="1:5" x14ac:dyDescent="0.25">
      <c r="A30" s="31" t="s">
        <v>78</v>
      </c>
      <c r="B30" s="32" t="s">
        <v>79</v>
      </c>
      <c r="C30" s="61">
        <f>'Direct Cost'!K40</f>
        <v>198000</v>
      </c>
      <c r="D30" s="33" t="s">
        <v>169</v>
      </c>
      <c r="E30" s="33" t="s">
        <v>299</v>
      </c>
    </row>
    <row r="31" spans="1:5" ht="27" x14ac:dyDescent="0.25">
      <c r="A31" s="31" t="s">
        <v>80</v>
      </c>
      <c r="B31" s="32" t="s">
        <v>81</v>
      </c>
      <c r="C31" s="61">
        <f>'Direct Cost'!K41</f>
        <v>25000</v>
      </c>
      <c r="D31" s="33" t="s">
        <v>170</v>
      </c>
      <c r="E31" s="33" t="s">
        <v>300</v>
      </c>
    </row>
    <row r="32" spans="1:5" x14ac:dyDescent="0.25">
      <c r="A32" s="90" t="s">
        <v>144</v>
      </c>
      <c r="B32" s="88"/>
      <c r="C32" s="91"/>
      <c r="D32" s="89"/>
      <c r="E32" s="89"/>
    </row>
    <row r="33" spans="1:5" ht="27" x14ac:dyDescent="0.25">
      <c r="A33" s="31" t="s">
        <v>83</v>
      </c>
      <c r="B33" s="32" t="s">
        <v>84</v>
      </c>
      <c r="C33" s="61">
        <f>'Direct Cost'!K45</f>
        <v>30000</v>
      </c>
      <c r="D33" s="33" t="s">
        <v>171</v>
      </c>
      <c r="E33" s="33" t="s">
        <v>301</v>
      </c>
    </row>
    <row r="34" spans="1:5" x14ac:dyDescent="0.25">
      <c r="A34" s="34" t="s">
        <v>172</v>
      </c>
      <c r="B34" s="35"/>
      <c r="C34" s="62">
        <f>'Direct Cost'!K48</f>
        <v>2348106.2000000002</v>
      </c>
      <c r="D34" s="36"/>
      <c r="E34" s="36"/>
    </row>
    <row r="35" spans="1:5" x14ac:dyDescent="0.25">
      <c r="A35" s="28"/>
      <c r="B35" s="27"/>
      <c r="C35" s="60"/>
      <c r="D35" s="29"/>
      <c r="E35" s="29"/>
    </row>
    <row r="36" spans="1:5" ht="16.5" x14ac:dyDescent="0.25">
      <c r="A36" s="92" t="s">
        <v>173</v>
      </c>
      <c r="B36" s="86"/>
      <c r="C36" s="93"/>
      <c r="D36" s="87"/>
      <c r="E36" s="87"/>
    </row>
    <row r="37" spans="1:5" x14ac:dyDescent="0.25">
      <c r="A37" s="90" t="s">
        <v>302</v>
      </c>
      <c r="B37" s="88"/>
      <c r="C37" s="94"/>
      <c r="D37" s="89"/>
      <c r="E37" s="89"/>
    </row>
    <row r="38" spans="1:5" x14ac:dyDescent="0.25">
      <c r="A38" s="31" t="s">
        <v>87</v>
      </c>
      <c r="B38" s="32" t="s">
        <v>88</v>
      </c>
      <c r="C38" s="61">
        <f>'Admin Cost'!K7</f>
        <v>0</v>
      </c>
      <c r="D38" s="33" t="s">
        <v>303</v>
      </c>
      <c r="E38" s="33" t="s">
        <v>304</v>
      </c>
    </row>
    <row r="39" spans="1:5" x14ac:dyDescent="0.25">
      <c r="A39" s="31" t="s">
        <v>89</v>
      </c>
      <c r="B39" s="32" t="s">
        <v>90</v>
      </c>
      <c r="C39" s="61">
        <f>'Admin Cost'!K8</f>
        <v>0</v>
      </c>
      <c r="D39" s="33" t="s">
        <v>305</v>
      </c>
      <c r="E39" s="33" t="s">
        <v>306</v>
      </c>
    </row>
    <row r="40" spans="1:5" x14ac:dyDescent="0.25">
      <c r="A40" s="31" t="s">
        <v>91</v>
      </c>
      <c r="B40" s="32" t="s">
        <v>92</v>
      </c>
      <c r="C40" s="61">
        <f>'Admin Cost'!K9</f>
        <v>0</v>
      </c>
      <c r="D40" s="33" t="s">
        <v>307</v>
      </c>
      <c r="E40" s="33" t="s">
        <v>308</v>
      </c>
    </row>
    <row r="41" spans="1:5" x14ac:dyDescent="0.25">
      <c r="A41" s="31" t="s">
        <v>93</v>
      </c>
      <c r="B41" s="32" t="s">
        <v>94</v>
      </c>
      <c r="C41" s="61">
        <f>'Admin Cost'!K10</f>
        <v>0</v>
      </c>
      <c r="D41" s="33" t="s">
        <v>309</v>
      </c>
      <c r="E41" s="33" t="s">
        <v>310</v>
      </c>
    </row>
    <row r="42" spans="1:5" ht="27" x14ac:dyDescent="0.25">
      <c r="A42" s="31" t="s">
        <v>95</v>
      </c>
      <c r="B42" s="32" t="s">
        <v>96</v>
      </c>
      <c r="C42" s="61">
        <f>'Admin Cost'!K11</f>
        <v>0</v>
      </c>
      <c r="D42" s="33" t="s">
        <v>311</v>
      </c>
      <c r="E42" s="33" t="s">
        <v>312</v>
      </c>
    </row>
    <row r="43" spans="1:5" x14ac:dyDescent="0.25">
      <c r="A43" s="31" t="s">
        <v>97</v>
      </c>
      <c r="B43" s="32" t="s">
        <v>98</v>
      </c>
      <c r="C43" s="61">
        <f>'Admin Cost'!K12</f>
        <v>0</v>
      </c>
      <c r="D43" s="33" t="s">
        <v>313</v>
      </c>
      <c r="E43" s="33" t="s">
        <v>314</v>
      </c>
    </row>
    <row r="44" spans="1:5" x14ac:dyDescent="0.25">
      <c r="A44" s="31" t="s">
        <v>99</v>
      </c>
      <c r="B44" s="32" t="s">
        <v>100</v>
      </c>
      <c r="C44" s="61">
        <f>'Admin Cost'!K13</f>
        <v>0</v>
      </c>
      <c r="D44" s="33" t="s">
        <v>315</v>
      </c>
      <c r="E44" s="33" t="s">
        <v>316</v>
      </c>
    </row>
    <row r="45" spans="1:5" x14ac:dyDescent="0.25">
      <c r="A45" s="31" t="s">
        <v>101</v>
      </c>
      <c r="B45" s="32" t="s">
        <v>115</v>
      </c>
      <c r="C45" s="61">
        <f>'Admin Cost'!K14</f>
        <v>0</v>
      </c>
      <c r="D45" s="33" t="s">
        <v>317</v>
      </c>
      <c r="E45" s="33" t="s">
        <v>318</v>
      </c>
    </row>
    <row r="46" spans="1:5" ht="27" x14ac:dyDescent="0.25">
      <c r="A46" s="31" t="s">
        <v>104</v>
      </c>
      <c r="B46" s="32" t="s">
        <v>116</v>
      </c>
      <c r="C46" s="61">
        <f>'Admin Cost'!K15</f>
        <v>0</v>
      </c>
      <c r="D46" s="33" t="s">
        <v>319</v>
      </c>
      <c r="E46" s="33" t="s">
        <v>320</v>
      </c>
    </row>
    <row r="47" spans="1:5" ht="27" x14ac:dyDescent="0.25">
      <c r="A47" s="31" t="s">
        <v>106</v>
      </c>
      <c r="B47" s="32" t="s">
        <v>147</v>
      </c>
      <c r="C47" s="61">
        <f>'Admin Cost'!K16</f>
        <v>0</v>
      </c>
      <c r="D47" s="33" t="s">
        <v>321</v>
      </c>
      <c r="E47" s="33" t="s">
        <v>322</v>
      </c>
    </row>
    <row r="48" spans="1:5" ht="27" x14ac:dyDescent="0.25">
      <c r="A48" s="31" t="s">
        <v>108</v>
      </c>
      <c r="B48" s="32" t="s">
        <v>148</v>
      </c>
      <c r="C48" s="61">
        <f>'Admin Cost'!K17</f>
        <v>0</v>
      </c>
      <c r="D48" s="33" t="s">
        <v>323</v>
      </c>
      <c r="E48" s="33" t="s">
        <v>324</v>
      </c>
    </row>
    <row r="49" spans="1:5" x14ac:dyDescent="0.25">
      <c r="A49" s="31" t="s">
        <v>110</v>
      </c>
      <c r="B49" s="32" t="s">
        <v>149</v>
      </c>
      <c r="C49" s="61">
        <f>'Admin Cost'!K18</f>
        <v>0</v>
      </c>
      <c r="D49" s="33" t="s">
        <v>325</v>
      </c>
      <c r="E49" s="33" t="s">
        <v>326</v>
      </c>
    </row>
    <row r="50" spans="1:5" x14ac:dyDescent="0.25">
      <c r="A50" s="90" t="s">
        <v>174</v>
      </c>
      <c r="B50" s="88"/>
      <c r="C50" s="91"/>
      <c r="D50" s="89"/>
      <c r="E50" s="89"/>
    </row>
    <row r="51" spans="1:5" ht="27" x14ac:dyDescent="0.25">
      <c r="A51" s="31" t="s">
        <v>119</v>
      </c>
      <c r="B51" s="32" t="s">
        <v>102</v>
      </c>
      <c r="C51" s="61">
        <f>'Admin Cost'!K22</f>
        <v>21600</v>
      </c>
      <c r="D51" s="33" t="s">
        <v>327</v>
      </c>
      <c r="E51" s="33" t="s">
        <v>328</v>
      </c>
    </row>
    <row r="52" spans="1:5" ht="27" x14ac:dyDescent="0.25">
      <c r="A52" s="31" t="s">
        <v>120</v>
      </c>
      <c r="B52" s="32" t="s">
        <v>105</v>
      </c>
      <c r="C52" s="61">
        <f>'Admin Cost'!K23</f>
        <v>12000</v>
      </c>
      <c r="D52" s="33" t="s">
        <v>175</v>
      </c>
      <c r="E52" s="33" t="s">
        <v>329</v>
      </c>
    </row>
    <row r="53" spans="1:5" ht="27" x14ac:dyDescent="0.25">
      <c r="A53" s="31" t="s">
        <v>121</v>
      </c>
      <c r="B53" s="32" t="s">
        <v>122</v>
      </c>
      <c r="C53" s="61">
        <f>'Admin Cost'!K24</f>
        <v>9000</v>
      </c>
      <c r="D53" s="33" t="s">
        <v>176</v>
      </c>
      <c r="E53" s="33" t="s">
        <v>330</v>
      </c>
    </row>
    <row r="54" spans="1:5" x14ac:dyDescent="0.25">
      <c r="A54" s="31" t="s">
        <v>123</v>
      </c>
      <c r="B54" s="32" t="s">
        <v>124</v>
      </c>
      <c r="C54" s="61">
        <f>'Admin Cost'!K25</f>
        <v>7920</v>
      </c>
      <c r="D54" s="33" t="s">
        <v>331</v>
      </c>
      <c r="E54" s="33" t="s">
        <v>332</v>
      </c>
    </row>
    <row r="55" spans="1:5" x14ac:dyDescent="0.25">
      <c r="A55" s="31" t="s">
        <v>125</v>
      </c>
      <c r="B55" s="32" t="s">
        <v>107</v>
      </c>
      <c r="C55" s="61">
        <f>'Admin Cost'!K26</f>
        <v>4800</v>
      </c>
      <c r="D55" s="33" t="s">
        <v>177</v>
      </c>
      <c r="E55" s="33" t="s">
        <v>333</v>
      </c>
    </row>
    <row r="56" spans="1:5" ht="27" x14ac:dyDescent="0.25">
      <c r="A56" s="31" t="s">
        <v>126</v>
      </c>
      <c r="B56" s="32" t="s">
        <v>109</v>
      </c>
      <c r="C56" s="61">
        <f>'Admin Cost'!K27</f>
        <v>10500</v>
      </c>
      <c r="D56" s="33" t="s">
        <v>178</v>
      </c>
      <c r="E56" s="33" t="s">
        <v>334</v>
      </c>
    </row>
    <row r="57" spans="1:5" ht="27" x14ac:dyDescent="0.25">
      <c r="A57" s="31" t="s">
        <v>255</v>
      </c>
      <c r="B57" s="32" t="s">
        <v>256</v>
      </c>
      <c r="C57" s="61">
        <f>'Admin Cost'!K28</f>
        <v>54000</v>
      </c>
      <c r="D57" s="33" t="s">
        <v>335</v>
      </c>
      <c r="E57" s="33" t="s">
        <v>336</v>
      </c>
    </row>
    <row r="58" spans="1:5" x14ac:dyDescent="0.25">
      <c r="A58" s="90" t="s">
        <v>179</v>
      </c>
      <c r="B58" s="88"/>
      <c r="C58" s="91"/>
      <c r="D58" s="89"/>
      <c r="E58" s="89"/>
    </row>
    <row r="59" spans="1:5" x14ac:dyDescent="0.25">
      <c r="A59" s="31" t="s">
        <v>129</v>
      </c>
      <c r="B59" s="32" t="s">
        <v>111</v>
      </c>
      <c r="C59" s="61">
        <f>'Admin Cost'!K32</f>
        <v>18000</v>
      </c>
      <c r="D59" s="33" t="s">
        <v>337</v>
      </c>
      <c r="E59" s="33" t="s">
        <v>338</v>
      </c>
    </row>
    <row r="60" spans="1:5" x14ac:dyDescent="0.25">
      <c r="A60" s="31" t="s">
        <v>130</v>
      </c>
      <c r="B60" s="32" t="s">
        <v>131</v>
      </c>
      <c r="C60" s="61">
        <f>'Admin Cost'!K33</f>
        <v>11000</v>
      </c>
      <c r="D60" s="33" t="s">
        <v>339</v>
      </c>
      <c r="E60" s="33" t="s">
        <v>150</v>
      </c>
    </row>
    <row r="61" spans="1:5" x14ac:dyDescent="0.25">
      <c r="A61" s="31" t="s">
        <v>132</v>
      </c>
      <c r="B61" s="32" t="s">
        <v>133</v>
      </c>
      <c r="C61" s="61">
        <f>'Admin Cost'!K34</f>
        <v>0</v>
      </c>
      <c r="D61" s="33" t="s">
        <v>340</v>
      </c>
      <c r="E61" s="33" t="s">
        <v>341</v>
      </c>
    </row>
    <row r="62" spans="1:5" ht="27" x14ac:dyDescent="0.25">
      <c r="A62" s="31" t="s">
        <v>134</v>
      </c>
      <c r="B62" s="32" t="s">
        <v>135</v>
      </c>
      <c r="C62" s="61">
        <f>'Admin Cost'!K35</f>
        <v>7500</v>
      </c>
      <c r="D62" s="33" t="s">
        <v>180</v>
      </c>
      <c r="E62" s="33" t="s">
        <v>136</v>
      </c>
    </row>
    <row r="63" spans="1:5" x14ac:dyDescent="0.25">
      <c r="A63" s="31" t="s">
        <v>137</v>
      </c>
      <c r="B63" s="32" t="s">
        <v>138</v>
      </c>
      <c r="C63" s="61">
        <f>'Admin Cost'!K36</f>
        <v>0</v>
      </c>
      <c r="D63" s="33" t="s">
        <v>340</v>
      </c>
      <c r="E63" s="33" t="s">
        <v>342</v>
      </c>
    </row>
    <row r="64" spans="1:5" ht="14.45" customHeight="1" x14ac:dyDescent="0.25">
      <c r="A64" s="31" t="s">
        <v>139</v>
      </c>
      <c r="B64" s="32" t="s">
        <v>141</v>
      </c>
      <c r="C64" s="61">
        <f>'Admin Cost'!K37</f>
        <v>195895.93</v>
      </c>
      <c r="D64" s="33" t="s">
        <v>343</v>
      </c>
      <c r="E64" s="33" t="s">
        <v>344</v>
      </c>
    </row>
    <row r="65" spans="1:5" x14ac:dyDescent="0.25">
      <c r="A65" s="35" t="s">
        <v>181</v>
      </c>
      <c r="B65" s="35"/>
      <c r="C65" s="62">
        <f>'Admin Cost'!K40</f>
        <v>352215.93</v>
      </c>
      <c r="D65" s="36"/>
      <c r="E65" s="36"/>
    </row>
    <row r="66" spans="1:5" x14ac:dyDescent="0.25">
      <c r="A66" s="32"/>
      <c r="B66" s="32"/>
      <c r="C66" s="63"/>
      <c r="D66" s="33"/>
      <c r="E66" s="33"/>
    </row>
    <row r="67" spans="1:5" ht="15.75" x14ac:dyDescent="0.25">
      <c r="A67" s="37" t="s">
        <v>22</v>
      </c>
      <c r="B67" s="37"/>
      <c r="C67" s="64">
        <f>'Direct Cost'!K48+'Admin Cost'!K40</f>
        <v>2700322.1300000004</v>
      </c>
      <c r="D67" s="38"/>
      <c r="E67" s="38"/>
    </row>
  </sheetData>
  <mergeCells count="12">
    <mergeCell ref="A58:E58"/>
    <mergeCell ref="A36:E36"/>
    <mergeCell ref="A15:E15"/>
    <mergeCell ref="A21:E21"/>
    <mergeCell ref="A25:E25"/>
    <mergeCell ref="A32:E32"/>
    <mergeCell ref="A37:E37"/>
    <mergeCell ref="A1:E1"/>
    <mergeCell ref="A3:E3"/>
    <mergeCell ref="A4:E4"/>
    <mergeCell ref="A29:E29"/>
    <mergeCell ref="A50:E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42B8-199F-4180-9C00-168FA17E0E0E}">
  <sheetPr>
    <tabColor theme="9" tint="-0.249977111117893"/>
  </sheetPr>
  <dimension ref="A1:BA649"/>
  <sheetViews>
    <sheetView workbookViewId="0">
      <selection activeCell="A3" sqref="A3:A29"/>
    </sheetView>
  </sheetViews>
  <sheetFormatPr defaultRowHeight="15" x14ac:dyDescent="0.25"/>
  <cols>
    <col min="1" max="1" width="31.5703125" bestFit="1" customWidth="1"/>
    <col min="4" max="4" width="28.140625" bestFit="1" customWidth="1"/>
    <col min="6" max="53" width="8.7109375" style="45"/>
  </cols>
  <sheetData>
    <row r="1" spans="1:5" x14ac:dyDescent="0.25">
      <c r="A1" s="39" t="s">
        <v>187</v>
      </c>
      <c r="B1" s="39" t="s">
        <v>183</v>
      </c>
      <c r="C1" s="45"/>
      <c r="D1" s="39" t="s">
        <v>213</v>
      </c>
      <c r="E1" s="39" t="s">
        <v>28</v>
      </c>
    </row>
    <row r="2" spans="1:5" x14ac:dyDescent="0.25">
      <c r="A2" s="40" t="s">
        <v>191</v>
      </c>
      <c r="B2" s="41">
        <v>2601</v>
      </c>
      <c r="C2" s="45"/>
      <c r="D2" s="42" t="s">
        <v>59</v>
      </c>
      <c r="E2" s="46">
        <v>1</v>
      </c>
    </row>
    <row r="3" spans="1:5" x14ac:dyDescent="0.25">
      <c r="A3" s="40" t="s">
        <v>188</v>
      </c>
      <c r="B3" s="41">
        <v>2602</v>
      </c>
      <c r="C3" s="45"/>
      <c r="D3" s="42" t="s">
        <v>40</v>
      </c>
      <c r="E3" s="46">
        <v>2</v>
      </c>
    </row>
    <row r="4" spans="1:5" x14ac:dyDescent="0.25">
      <c r="A4" s="40" t="s">
        <v>189</v>
      </c>
      <c r="B4" s="41">
        <v>2603</v>
      </c>
      <c r="C4" s="45"/>
      <c r="D4" s="42" t="s">
        <v>214</v>
      </c>
      <c r="E4" s="46">
        <v>3</v>
      </c>
    </row>
    <row r="5" spans="1:5" x14ac:dyDescent="0.25">
      <c r="A5" s="40" t="s">
        <v>190</v>
      </c>
      <c r="B5" s="41">
        <v>2604</v>
      </c>
      <c r="C5" s="45"/>
      <c r="D5" s="42" t="s">
        <v>215</v>
      </c>
      <c r="E5" s="46">
        <v>4</v>
      </c>
    </row>
    <row r="6" spans="1:5" x14ac:dyDescent="0.25">
      <c r="A6" s="40" t="s">
        <v>192</v>
      </c>
      <c r="B6" s="41">
        <v>2605</v>
      </c>
      <c r="C6" s="45"/>
      <c r="D6" s="42" t="s">
        <v>216</v>
      </c>
      <c r="E6" s="46">
        <v>5</v>
      </c>
    </row>
    <row r="7" spans="1:5" x14ac:dyDescent="0.25">
      <c r="A7" s="40" t="s">
        <v>193</v>
      </c>
      <c r="B7" s="41">
        <v>2606</v>
      </c>
      <c r="C7" s="45"/>
      <c r="D7" s="42" t="s">
        <v>217</v>
      </c>
      <c r="E7" s="46">
        <v>6</v>
      </c>
    </row>
    <row r="8" spans="1:5" x14ac:dyDescent="0.25">
      <c r="A8" s="40" t="s">
        <v>194</v>
      </c>
      <c r="B8" s="41">
        <v>2607</v>
      </c>
      <c r="C8" s="45"/>
      <c r="D8" s="45"/>
      <c r="E8" s="45"/>
    </row>
    <row r="9" spans="1:5" x14ac:dyDescent="0.25">
      <c r="A9" s="40" t="s">
        <v>195</v>
      </c>
      <c r="B9" s="41">
        <v>2608</v>
      </c>
      <c r="C9" s="45"/>
      <c r="D9" s="45"/>
      <c r="E9" s="45"/>
    </row>
    <row r="10" spans="1:5" x14ac:dyDescent="0.25">
      <c r="A10" s="40" t="s">
        <v>196</v>
      </c>
      <c r="B10" s="41">
        <v>2609</v>
      </c>
      <c r="C10" s="45"/>
      <c r="D10" s="45"/>
      <c r="E10" s="45"/>
    </row>
    <row r="11" spans="1:5" x14ac:dyDescent="0.25">
      <c r="A11" s="40" t="s">
        <v>198</v>
      </c>
      <c r="B11" s="41">
        <v>2610</v>
      </c>
      <c r="C11" s="45"/>
      <c r="D11" s="45"/>
      <c r="E11" s="45"/>
    </row>
    <row r="12" spans="1:5" x14ac:dyDescent="0.25">
      <c r="A12" s="40" t="s">
        <v>197</v>
      </c>
      <c r="B12" s="41">
        <v>2611</v>
      </c>
      <c r="C12" s="45"/>
      <c r="D12" s="39" t="s">
        <v>218</v>
      </c>
      <c r="E12" s="39" t="s">
        <v>28</v>
      </c>
    </row>
    <row r="13" spans="1:5" x14ac:dyDescent="0.25">
      <c r="A13" s="40" t="s">
        <v>199</v>
      </c>
      <c r="B13" s="41">
        <v>2612</v>
      </c>
      <c r="C13" s="45"/>
      <c r="D13" s="42" t="s">
        <v>219</v>
      </c>
      <c r="E13" s="46" t="s">
        <v>184</v>
      </c>
    </row>
    <row r="14" spans="1:5" x14ac:dyDescent="0.25">
      <c r="A14" s="40" t="s">
        <v>200</v>
      </c>
      <c r="B14" s="41">
        <v>2613</v>
      </c>
      <c r="C14" s="45"/>
      <c r="D14" s="42" t="s">
        <v>220</v>
      </c>
      <c r="E14" s="46" t="s">
        <v>185</v>
      </c>
    </row>
    <row r="15" spans="1:5" x14ac:dyDescent="0.25">
      <c r="A15" s="40" t="s">
        <v>201</v>
      </c>
      <c r="B15" s="41">
        <v>2614</v>
      </c>
      <c r="C15" s="45"/>
      <c r="D15" s="42" t="s">
        <v>221</v>
      </c>
      <c r="E15" s="46" t="s">
        <v>186</v>
      </c>
    </row>
    <row r="16" spans="1:5" x14ac:dyDescent="0.25">
      <c r="A16" s="40" t="s">
        <v>202</v>
      </c>
      <c r="B16" s="41">
        <v>2615</v>
      </c>
      <c r="C16" s="45"/>
      <c r="D16" s="42" t="s">
        <v>222</v>
      </c>
      <c r="E16" s="46" t="s">
        <v>223</v>
      </c>
    </row>
    <row r="17" spans="1:5" x14ac:dyDescent="0.25">
      <c r="A17" s="40" t="s">
        <v>203</v>
      </c>
      <c r="B17" s="41">
        <v>2616</v>
      </c>
      <c r="C17" s="45"/>
      <c r="D17" s="42" t="s">
        <v>224</v>
      </c>
      <c r="E17" s="46" t="s">
        <v>225</v>
      </c>
    </row>
    <row r="18" spans="1:5" x14ac:dyDescent="0.25">
      <c r="A18" s="40" t="s">
        <v>204</v>
      </c>
      <c r="B18" s="41">
        <v>2617</v>
      </c>
      <c r="C18" s="45"/>
      <c r="D18" s="42" t="s">
        <v>234</v>
      </c>
      <c r="E18" s="46" t="s">
        <v>226</v>
      </c>
    </row>
    <row r="19" spans="1:5" x14ac:dyDescent="0.25">
      <c r="A19" s="40" t="s">
        <v>205</v>
      </c>
      <c r="B19" s="41">
        <v>2618</v>
      </c>
      <c r="C19" s="45"/>
      <c r="D19" s="45"/>
      <c r="E19" s="45"/>
    </row>
    <row r="20" spans="1:5" x14ac:dyDescent="0.25">
      <c r="A20" s="40" t="s">
        <v>206</v>
      </c>
      <c r="B20" s="41">
        <v>2619</v>
      </c>
      <c r="C20" s="45"/>
      <c r="D20" s="45"/>
      <c r="E20" s="45"/>
    </row>
    <row r="21" spans="1:5" x14ac:dyDescent="0.25">
      <c r="A21" s="40" t="s">
        <v>207</v>
      </c>
      <c r="B21" s="41">
        <v>2620</v>
      </c>
      <c r="C21" s="45"/>
      <c r="D21" s="45"/>
      <c r="E21" s="45"/>
    </row>
    <row r="22" spans="1:5" x14ac:dyDescent="0.25">
      <c r="A22" s="40" t="s">
        <v>208</v>
      </c>
      <c r="B22" s="41">
        <v>2621</v>
      </c>
      <c r="C22" s="45"/>
      <c r="D22" s="45"/>
      <c r="E22" s="45"/>
    </row>
    <row r="23" spans="1:5" x14ac:dyDescent="0.25">
      <c r="A23" s="40" t="s">
        <v>209</v>
      </c>
      <c r="B23" s="41">
        <v>2622</v>
      </c>
      <c r="C23" s="45"/>
      <c r="D23" s="45"/>
      <c r="E23" s="45"/>
    </row>
    <row r="24" spans="1:5" x14ac:dyDescent="0.25">
      <c r="A24" s="40" t="s">
        <v>210</v>
      </c>
      <c r="B24" s="41">
        <v>2623</v>
      </c>
      <c r="C24" s="45"/>
      <c r="D24" s="45"/>
      <c r="E24" s="45"/>
    </row>
    <row r="25" spans="1:5" x14ac:dyDescent="0.25">
      <c r="A25" s="40" t="s">
        <v>211</v>
      </c>
      <c r="B25" s="41">
        <v>2624</v>
      </c>
      <c r="C25" s="45"/>
      <c r="D25" s="45"/>
      <c r="E25" s="45"/>
    </row>
    <row r="26" spans="1:5" x14ac:dyDescent="0.25">
      <c r="A26" s="40" t="s">
        <v>212</v>
      </c>
      <c r="B26" s="41">
        <v>2625</v>
      </c>
      <c r="C26" s="45"/>
      <c r="D26" s="45"/>
      <c r="E26" s="45"/>
    </row>
    <row r="27" spans="1:5" x14ac:dyDescent="0.25">
      <c r="A27" s="40" t="s">
        <v>236</v>
      </c>
      <c r="B27" s="41">
        <v>2626</v>
      </c>
      <c r="C27" s="45"/>
      <c r="D27" s="45"/>
      <c r="E27" s="45"/>
    </row>
    <row r="28" spans="1:5" x14ac:dyDescent="0.25">
      <c r="A28" s="40" t="s">
        <v>240</v>
      </c>
      <c r="B28" s="41">
        <v>2627</v>
      </c>
      <c r="C28" s="45"/>
      <c r="D28" s="45"/>
      <c r="E28" s="45"/>
    </row>
    <row r="29" spans="1:5" x14ac:dyDescent="0.25">
      <c r="A29" s="40" t="s">
        <v>241</v>
      </c>
      <c r="B29" s="41">
        <v>2628</v>
      </c>
      <c r="C29" s="45"/>
      <c r="D29" s="45"/>
      <c r="E29" s="45"/>
    </row>
    <row r="30" spans="1:5" s="45" customFormat="1" x14ac:dyDescent="0.25"/>
    <row r="31" spans="1:5" s="45" customFormat="1" x14ac:dyDescent="0.25"/>
    <row r="32" spans="1:5" s="45" customFormat="1" x14ac:dyDescent="0.25"/>
    <row r="33" s="45" customFormat="1" x14ac:dyDescent="0.25"/>
    <row r="34" s="45" customFormat="1" x14ac:dyDescent="0.25"/>
    <row r="35" s="45" customFormat="1" x14ac:dyDescent="0.25"/>
    <row r="36" s="45" customFormat="1" x14ac:dyDescent="0.25"/>
    <row r="37" s="45" customFormat="1" x14ac:dyDescent="0.25"/>
    <row r="38" s="45" customFormat="1" x14ac:dyDescent="0.25"/>
    <row r="39" s="45" customFormat="1" x14ac:dyDescent="0.25"/>
    <row r="40" s="45" customFormat="1" x14ac:dyDescent="0.25"/>
    <row r="41" s="45" customFormat="1" x14ac:dyDescent="0.25"/>
    <row r="42" s="45" customFormat="1" x14ac:dyDescent="0.25"/>
    <row r="43" s="45" customFormat="1" x14ac:dyDescent="0.25"/>
    <row r="44" s="45" customFormat="1" x14ac:dyDescent="0.25"/>
    <row r="45" s="45" customFormat="1" x14ac:dyDescent="0.25"/>
    <row r="46" s="45" customFormat="1" x14ac:dyDescent="0.25"/>
    <row r="47" s="45" customFormat="1" x14ac:dyDescent="0.25"/>
    <row r="48" s="45" customFormat="1" x14ac:dyDescent="0.25"/>
    <row r="49" s="45" customFormat="1" x14ac:dyDescent="0.25"/>
    <row r="50" s="45" customFormat="1" x14ac:dyDescent="0.25"/>
    <row r="51" s="45" customFormat="1" x14ac:dyDescent="0.25"/>
    <row r="52" s="45" customFormat="1" x14ac:dyDescent="0.25"/>
    <row r="53" s="45" customFormat="1" x14ac:dyDescent="0.25"/>
    <row r="54" s="45" customFormat="1" x14ac:dyDescent="0.25"/>
    <row r="55" s="45" customFormat="1" x14ac:dyDescent="0.25"/>
    <row r="56" s="45" customFormat="1" x14ac:dyDescent="0.25"/>
    <row r="57" s="45" customFormat="1" x14ac:dyDescent="0.25"/>
    <row r="58" s="45" customFormat="1" x14ac:dyDescent="0.25"/>
    <row r="59" s="45" customFormat="1" x14ac:dyDescent="0.25"/>
    <row r="60" s="45" customFormat="1" x14ac:dyDescent="0.25"/>
    <row r="61" s="45" customFormat="1" x14ac:dyDescent="0.25"/>
    <row r="62" s="45" customFormat="1" x14ac:dyDescent="0.25"/>
    <row r="63" s="45" customFormat="1" x14ac:dyDescent="0.25"/>
    <row r="64" s="45" customFormat="1" x14ac:dyDescent="0.25"/>
    <row r="65" s="45" customFormat="1" x14ac:dyDescent="0.25"/>
    <row r="66" s="45" customFormat="1" x14ac:dyDescent="0.25"/>
    <row r="67" s="45" customFormat="1" x14ac:dyDescent="0.25"/>
    <row r="68" s="45" customFormat="1" x14ac:dyDescent="0.25"/>
    <row r="69" s="45" customFormat="1" x14ac:dyDescent="0.25"/>
    <row r="70" s="45" customFormat="1" x14ac:dyDescent="0.25"/>
    <row r="71" s="45" customFormat="1" x14ac:dyDescent="0.25"/>
    <row r="72" s="45" customFormat="1" x14ac:dyDescent="0.25"/>
    <row r="73" s="45" customFormat="1" x14ac:dyDescent="0.25"/>
    <row r="74" s="45" customFormat="1" x14ac:dyDescent="0.25"/>
    <row r="75" s="45" customFormat="1" x14ac:dyDescent="0.25"/>
    <row r="76" s="45" customFormat="1" x14ac:dyDescent="0.25"/>
    <row r="77" s="45" customFormat="1" x14ac:dyDescent="0.25"/>
    <row r="78" s="45" customFormat="1" x14ac:dyDescent="0.25"/>
    <row r="79" s="45" customFormat="1" x14ac:dyDescent="0.25"/>
    <row r="80" s="45" customFormat="1" x14ac:dyDescent="0.25"/>
    <row r="81" s="45" customFormat="1" x14ac:dyDescent="0.25"/>
    <row r="82" s="45" customFormat="1" x14ac:dyDescent="0.25"/>
    <row r="83" s="45" customFormat="1" x14ac:dyDescent="0.25"/>
    <row r="84" s="45" customFormat="1" x14ac:dyDescent="0.25"/>
    <row r="85" s="45" customFormat="1" x14ac:dyDescent="0.25"/>
    <row r="86" s="45" customFormat="1" x14ac:dyDescent="0.25"/>
    <row r="87" s="45" customFormat="1" x14ac:dyDescent="0.25"/>
    <row r="88" s="45" customFormat="1" x14ac:dyDescent="0.25"/>
    <row r="89" s="45" customFormat="1" x14ac:dyDescent="0.25"/>
    <row r="90" s="45" customFormat="1" x14ac:dyDescent="0.25"/>
    <row r="91" s="45" customFormat="1" x14ac:dyDescent="0.25"/>
    <row r="92" s="45" customFormat="1" x14ac:dyDescent="0.25"/>
    <row r="93" s="45" customFormat="1" x14ac:dyDescent="0.25"/>
    <row r="94" s="45" customFormat="1" x14ac:dyDescent="0.25"/>
    <row r="95" s="45" customFormat="1" x14ac:dyDescent="0.25"/>
    <row r="96" s="45" customFormat="1" x14ac:dyDescent="0.25"/>
    <row r="97" s="45" customFormat="1" x14ac:dyDescent="0.25"/>
    <row r="98" s="45" customFormat="1" x14ac:dyDescent="0.25"/>
    <row r="99" s="45" customFormat="1" x14ac:dyDescent="0.25"/>
    <row r="100" s="45" customFormat="1" x14ac:dyDescent="0.25"/>
    <row r="101" s="45" customFormat="1" x14ac:dyDescent="0.25"/>
    <row r="102" s="45" customFormat="1" x14ac:dyDescent="0.25"/>
    <row r="103" s="45" customFormat="1" x14ac:dyDescent="0.25"/>
    <row r="104" s="45" customFormat="1" x14ac:dyDescent="0.25"/>
    <row r="105" s="45" customFormat="1" x14ac:dyDescent="0.25"/>
    <row r="106" s="45" customFormat="1" x14ac:dyDescent="0.25"/>
    <row r="107" s="45" customFormat="1" x14ac:dyDescent="0.25"/>
    <row r="108" s="45" customFormat="1" x14ac:dyDescent="0.25"/>
    <row r="109" s="45" customFormat="1" x14ac:dyDescent="0.25"/>
    <row r="110" s="45" customFormat="1" x14ac:dyDescent="0.25"/>
    <row r="111" s="45" customFormat="1" x14ac:dyDescent="0.25"/>
    <row r="112" s="45" customFormat="1" x14ac:dyDescent="0.25"/>
    <row r="113" s="45" customFormat="1" x14ac:dyDescent="0.25"/>
    <row r="114" s="45" customFormat="1" x14ac:dyDescent="0.25"/>
    <row r="115" s="45" customFormat="1" x14ac:dyDescent="0.25"/>
    <row r="116" s="45" customFormat="1" x14ac:dyDescent="0.25"/>
    <row r="117" s="45" customFormat="1" x14ac:dyDescent="0.25"/>
    <row r="118" s="45" customFormat="1" x14ac:dyDescent="0.25"/>
    <row r="119" s="45" customFormat="1" x14ac:dyDescent="0.25"/>
    <row r="120" s="45" customFormat="1" x14ac:dyDescent="0.25"/>
    <row r="121" s="45" customFormat="1" x14ac:dyDescent="0.25"/>
    <row r="122" s="45" customFormat="1" x14ac:dyDescent="0.25"/>
    <row r="123" s="45" customFormat="1" x14ac:dyDescent="0.25"/>
    <row r="124" s="45" customFormat="1" x14ac:dyDescent="0.25"/>
    <row r="125" s="45" customFormat="1" x14ac:dyDescent="0.25"/>
    <row r="126" s="45" customFormat="1" x14ac:dyDescent="0.25"/>
    <row r="127" s="45" customFormat="1" x14ac:dyDescent="0.25"/>
    <row r="128" s="45" customFormat="1" x14ac:dyDescent="0.25"/>
    <row r="129" s="45" customFormat="1" x14ac:dyDescent="0.25"/>
    <row r="130" s="45" customFormat="1" x14ac:dyDescent="0.25"/>
    <row r="131" s="45" customFormat="1" x14ac:dyDescent="0.25"/>
    <row r="132" s="45" customFormat="1" x14ac:dyDescent="0.25"/>
    <row r="133" s="45" customFormat="1" x14ac:dyDescent="0.25"/>
    <row r="134" s="45" customFormat="1" x14ac:dyDescent="0.25"/>
    <row r="135" s="45" customFormat="1" x14ac:dyDescent="0.25"/>
    <row r="136" s="45" customFormat="1" x14ac:dyDescent="0.25"/>
    <row r="137" s="45" customFormat="1" x14ac:dyDescent="0.25"/>
    <row r="138" s="45" customFormat="1" x14ac:dyDescent="0.25"/>
    <row r="139" s="45" customFormat="1" x14ac:dyDescent="0.25"/>
    <row r="140" s="45" customFormat="1" x14ac:dyDescent="0.25"/>
    <row r="141" s="45" customFormat="1" x14ac:dyDescent="0.25"/>
    <row r="142" s="45" customFormat="1" x14ac:dyDescent="0.25"/>
    <row r="143" s="45" customFormat="1" x14ac:dyDescent="0.25"/>
    <row r="144" s="45" customFormat="1" x14ac:dyDescent="0.25"/>
    <row r="145" s="45" customFormat="1" x14ac:dyDescent="0.25"/>
    <row r="146" s="45" customFormat="1" x14ac:dyDescent="0.25"/>
    <row r="147" s="45" customFormat="1" x14ac:dyDescent="0.25"/>
    <row r="148" s="45" customFormat="1" x14ac:dyDescent="0.25"/>
    <row r="149" s="45" customFormat="1" x14ac:dyDescent="0.25"/>
    <row r="150" s="45" customFormat="1" x14ac:dyDescent="0.25"/>
    <row r="151" s="45" customFormat="1" x14ac:dyDescent="0.25"/>
    <row r="152" s="45" customFormat="1" x14ac:dyDescent="0.25"/>
    <row r="153" s="45" customFormat="1" x14ac:dyDescent="0.25"/>
    <row r="154" s="45" customFormat="1" x14ac:dyDescent="0.25"/>
    <row r="155" s="45" customFormat="1" x14ac:dyDescent="0.25"/>
    <row r="156" s="45" customFormat="1" x14ac:dyDescent="0.25"/>
    <row r="157" s="45" customFormat="1" x14ac:dyDescent="0.25"/>
    <row r="158" s="45" customFormat="1" x14ac:dyDescent="0.25"/>
    <row r="159" s="45" customFormat="1" x14ac:dyDescent="0.25"/>
    <row r="160" s="45" customFormat="1" x14ac:dyDescent="0.25"/>
    <row r="161" s="45" customFormat="1" x14ac:dyDescent="0.25"/>
    <row r="162" s="45" customFormat="1" x14ac:dyDescent="0.25"/>
    <row r="163" s="45" customFormat="1" x14ac:dyDescent="0.25"/>
    <row r="164" s="45" customFormat="1" x14ac:dyDescent="0.25"/>
    <row r="165" s="45" customFormat="1" x14ac:dyDescent="0.25"/>
    <row r="166" s="45" customFormat="1" x14ac:dyDescent="0.25"/>
    <row r="167" s="45" customFormat="1" x14ac:dyDescent="0.25"/>
    <row r="168" s="45" customFormat="1" x14ac:dyDescent="0.25"/>
    <row r="169" s="45" customFormat="1" x14ac:dyDescent="0.25"/>
    <row r="170" s="45" customFormat="1" x14ac:dyDescent="0.25"/>
    <row r="171" s="45" customFormat="1" x14ac:dyDescent="0.25"/>
    <row r="172" s="45" customFormat="1" x14ac:dyDescent="0.25"/>
    <row r="173" s="45" customFormat="1" x14ac:dyDescent="0.25"/>
    <row r="174" s="45" customFormat="1" x14ac:dyDescent="0.25"/>
    <row r="175" s="45" customFormat="1" x14ac:dyDescent="0.25"/>
    <row r="176" s="45" customFormat="1" x14ac:dyDescent="0.25"/>
    <row r="177" s="45" customFormat="1" x14ac:dyDescent="0.25"/>
    <row r="178" s="45" customFormat="1" x14ac:dyDescent="0.25"/>
    <row r="179" s="45" customFormat="1" x14ac:dyDescent="0.25"/>
    <row r="180" s="45" customFormat="1" x14ac:dyDescent="0.25"/>
    <row r="181" s="45" customFormat="1" x14ac:dyDescent="0.25"/>
    <row r="182" s="45" customFormat="1" x14ac:dyDescent="0.25"/>
    <row r="183" s="45" customFormat="1" x14ac:dyDescent="0.25"/>
    <row r="184" s="45" customFormat="1" x14ac:dyDescent="0.25"/>
    <row r="185" s="45" customFormat="1" x14ac:dyDescent="0.25"/>
    <row r="186" s="45" customFormat="1" x14ac:dyDescent="0.25"/>
    <row r="187" s="45" customFormat="1" x14ac:dyDescent="0.25"/>
    <row r="188" s="45" customFormat="1" x14ac:dyDescent="0.25"/>
    <row r="189" s="45" customFormat="1" x14ac:dyDescent="0.25"/>
    <row r="190" s="45" customFormat="1" x14ac:dyDescent="0.25"/>
    <row r="191" s="45" customFormat="1" x14ac:dyDescent="0.25"/>
    <row r="192" s="45" customFormat="1" x14ac:dyDescent="0.25"/>
    <row r="193" s="45" customFormat="1" x14ac:dyDescent="0.25"/>
    <row r="194" s="45" customFormat="1" x14ac:dyDescent="0.25"/>
    <row r="195" s="45" customFormat="1" x14ac:dyDescent="0.25"/>
    <row r="196" s="45" customFormat="1" x14ac:dyDescent="0.25"/>
    <row r="197" s="45" customFormat="1" x14ac:dyDescent="0.25"/>
    <row r="198" s="45" customFormat="1" x14ac:dyDescent="0.25"/>
    <row r="199" s="45" customFormat="1" x14ac:dyDescent="0.25"/>
    <row r="200" s="45" customFormat="1" x14ac:dyDescent="0.25"/>
    <row r="201" s="45" customFormat="1" x14ac:dyDescent="0.25"/>
    <row r="202" s="45" customFormat="1" x14ac:dyDescent="0.25"/>
    <row r="203" s="45" customFormat="1" x14ac:dyDescent="0.25"/>
    <row r="204" s="45" customFormat="1" x14ac:dyDescent="0.25"/>
    <row r="205" s="45" customFormat="1" x14ac:dyDescent="0.25"/>
    <row r="206" s="45" customFormat="1" x14ac:dyDescent="0.25"/>
    <row r="207" s="45" customFormat="1" x14ac:dyDescent="0.25"/>
    <row r="208" s="45" customFormat="1" x14ac:dyDescent="0.25"/>
    <row r="209" s="45" customFormat="1" x14ac:dyDescent="0.25"/>
    <row r="210" s="45" customFormat="1" x14ac:dyDescent="0.25"/>
    <row r="211" s="45" customFormat="1" x14ac:dyDescent="0.25"/>
    <row r="212" s="45" customFormat="1" x14ac:dyDescent="0.25"/>
    <row r="213" s="45" customFormat="1" x14ac:dyDescent="0.25"/>
    <row r="214" s="45" customFormat="1" x14ac:dyDescent="0.25"/>
    <row r="215" s="45" customFormat="1" x14ac:dyDescent="0.25"/>
    <row r="216" s="45" customFormat="1" x14ac:dyDescent="0.25"/>
    <row r="217" s="45" customFormat="1" x14ac:dyDescent="0.25"/>
    <row r="218" s="45" customFormat="1" x14ac:dyDescent="0.25"/>
    <row r="219" s="45" customFormat="1" x14ac:dyDescent="0.25"/>
    <row r="220" s="45" customFormat="1" x14ac:dyDescent="0.25"/>
    <row r="221" s="45" customFormat="1" x14ac:dyDescent="0.25"/>
    <row r="222" s="45" customFormat="1" x14ac:dyDescent="0.25"/>
    <row r="223" s="45" customFormat="1" x14ac:dyDescent="0.25"/>
    <row r="224" s="45" customFormat="1" x14ac:dyDescent="0.25"/>
    <row r="225" s="45" customFormat="1" x14ac:dyDescent="0.25"/>
    <row r="226" s="45" customFormat="1" x14ac:dyDescent="0.25"/>
    <row r="227" s="45" customFormat="1" x14ac:dyDescent="0.25"/>
    <row r="228" s="45" customFormat="1" x14ac:dyDescent="0.25"/>
    <row r="229" s="45" customFormat="1" x14ac:dyDescent="0.25"/>
    <row r="230" s="45" customFormat="1" x14ac:dyDescent="0.25"/>
    <row r="231" s="45" customFormat="1" x14ac:dyDescent="0.25"/>
    <row r="232" s="45" customFormat="1" x14ac:dyDescent="0.25"/>
    <row r="233" s="45" customFormat="1" x14ac:dyDescent="0.25"/>
    <row r="234" s="45" customFormat="1" x14ac:dyDescent="0.25"/>
    <row r="235" s="45" customFormat="1" x14ac:dyDescent="0.25"/>
    <row r="236" s="45" customFormat="1" x14ac:dyDescent="0.25"/>
    <row r="237" s="45" customFormat="1" x14ac:dyDescent="0.25"/>
    <row r="238" s="45" customFormat="1" x14ac:dyDescent="0.25"/>
    <row r="239" s="45" customFormat="1" x14ac:dyDescent="0.25"/>
    <row r="240" s="45" customFormat="1" x14ac:dyDescent="0.25"/>
    <row r="241" s="45" customFormat="1" x14ac:dyDescent="0.25"/>
    <row r="242" s="45" customFormat="1" x14ac:dyDescent="0.25"/>
    <row r="243" s="45" customFormat="1" x14ac:dyDescent="0.25"/>
    <row r="244" s="45" customFormat="1" x14ac:dyDescent="0.25"/>
    <row r="245" s="45" customFormat="1" x14ac:dyDescent="0.25"/>
    <row r="246" s="45" customFormat="1" x14ac:dyDescent="0.25"/>
    <row r="247" s="45" customFormat="1" x14ac:dyDescent="0.25"/>
    <row r="248" s="45" customFormat="1" x14ac:dyDescent="0.25"/>
    <row r="249" s="45" customFormat="1" x14ac:dyDescent="0.25"/>
    <row r="250" s="45" customFormat="1" x14ac:dyDescent="0.25"/>
    <row r="251" s="45" customFormat="1" x14ac:dyDescent="0.25"/>
    <row r="252" s="45" customFormat="1" x14ac:dyDescent="0.25"/>
    <row r="253" s="45" customFormat="1" x14ac:dyDescent="0.25"/>
    <row r="254" s="45" customFormat="1" x14ac:dyDescent="0.25"/>
    <row r="255" s="45" customFormat="1" x14ac:dyDescent="0.25"/>
    <row r="256" s="45" customFormat="1" x14ac:dyDescent="0.25"/>
    <row r="257" s="45" customFormat="1" x14ac:dyDescent="0.25"/>
    <row r="258" s="45" customFormat="1" x14ac:dyDescent="0.25"/>
    <row r="259" s="45" customFormat="1" x14ac:dyDescent="0.25"/>
    <row r="260" s="45" customFormat="1" x14ac:dyDescent="0.25"/>
    <row r="261" s="45" customFormat="1" x14ac:dyDescent="0.25"/>
    <row r="262" s="45" customFormat="1" x14ac:dyDescent="0.25"/>
    <row r="263" s="45" customFormat="1" x14ac:dyDescent="0.25"/>
    <row r="264" s="45" customFormat="1" x14ac:dyDescent="0.25"/>
    <row r="265" s="45" customFormat="1" x14ac:dyDescent="0.25"/>
    <row r="266" s="45" customFormat="1" x14ac:dyDescent="0.25"/>
    <row r="267" s="45" customFormat="1" x14ac:dyDescent="0.25"/>
    <row r="268" s="45" customFormat="1" x14ac:dyDescent="0.25"/>
    <row r="269" s="45" customFormat="1" x14ac:dyDescent="0.25"/>
    <row r="270" s="45" customFormat="1" x14ac:dyDescent="0.25"/>
    <row r="271" s="45" customFormat="1" x14ac:dyDescent="0.25"/>
    <row r="272" s="45" customFormat="1" x14ac:dyDescent="0.25"/>
    <row r="273" s="45" customFormat="1" x14ac:dyDescent="0.25"/>
    <row r="274" s="45" customFormat="1" x14ac:dyDescent="0.25"/>
    <row r="275" s="45" customFormat="1" x14ac:dyDescent="0.25"/>
    <row r="276" s="45" customFormat="1" x14ac:dyDescent="0.25"/>
    <row r="277" s="45" customFormat="1" x14ac:dyDescent="0.25"/>
    <row r="278" s="45" customFormat="1" x14ac:dyDescent="0.25"/>
    <row r="279" s="45" customFormat="1" x14ac:dyDescent="0.25"/>
    <row r="280" s="45" customFormat="1" x14ac:dyDescent="0.25"/>
    <row r="281" s="45" customFormat="1" x14ac:dyDescent="0.25"/>
    <row r="282" s="45" customFormat="1" x14ac:dyDescent="0.25"/>
    <row r="283" s="45" customFormat="1" x14ac:dyDescent="0.25"/>
    <row r="284" s="45" customFormat="1" x14ac:dyDescent="0.25"/>
    <row r="285" s="45" customFormat="1" x14ac:dyDescent="0.25"/>
    <row r="286" s="45" customFormat="1" x14ac:dyDescent="0.25"/>
    <row r="287" s="45" customFormat="1" x14ac:dyDescent="0.25"/>
    <row r="288" s="45" customFormat="1" x14ac:dyDescent="0.25"/>
    <row r="289" s="45" customFormat="1" x14ac:dyDescent="0.25"/>
    <row r="290" s="45" customFormat="1" x14ac:dyDescent="0.25"/>
    <row r="291" s="45" customFormat="1" x14ac:dyDescent="0.25"/>
    <row r="292" s="45" customFormat="1" x14ac:dyDescent="0.25"/>
    <row r="293" s="45" customFormat="1" x14ac:dyDescent="0.25"/>
    <row r="294" s="45" customFormat="1" x14ac:dyDescent="0.25"/>
    <row r="295" s="45" customFormat="1" x14ac:dyDescent="0.25"/>
    <row r="296" s="45" customFormat="1" x14ac:dyDescent="0.25"/>
    <row r="297" s="45" customFormat="1" x14ac:dyDescent="0.25"/>
    <row r="298" s="45" customFormat="1" x14ac:dyDescent="0.25"/>
    <row r="299" s="45" customFormat="1" x14ac:dyDescent="0.25"/>
    <row r="300" s="45" customFormat="1" x14ac:dyDescent="0.25"/>
    <row r="301" s="45" customFormat="1" x14ac:dyDescent="0.25"/>
    <row r="302" s="45" customFormat="1" x14ac:dyDescent="0.25"/>
    <row r="303" s="45" customFormat="1" x14ac:dyDescent="0.25"/>
    <row r="304" s="45" customFormat="1" x14ac:dyDescent="0.25"/>
    <row r="305" s="45" customFormat="1" x14ac:dyDescent="0.25"/>
    <row r="306" s="45" customFormat="1" x14ac:dyDescent="0.25"/>
    <row r="307" s="45" customFormat="1" x14ac:dyDescent="0.25"/>
    <row r="308" s="45" customFormat="1" x14ac:dyDescent="0.25"/>
    <row r="309" s="45" customFormat="1" x14ac:dyDescent="0.25"/>
    <row r="310" s="45" customFormat="1" x14ac:dyDescent="0.25"/>
    <row r="311" s="45" customFormat="1" x14ac:dyDescent="0.25"/>
    <row r="312" s="45" customFormat="1" x14ac:dyDescent="0.25"/>
    <row r="313" s="45" customFormat="1" x14ac:dyDescent="0.25"/>
    <row r="314" s="45" customFormat="1" x14ac:dyDescent="0.25"/>
    <row r="315" s="45" customFormat="1" x14ac:dyDescent="0.25"/>
    <row r="316" s="45" customFormat="1" x14ac:dyDescent="0.25"/>
    <row r="317" s="45" customFormat="1" x14ac:dyDescent="0.25"/>
    <row r="318" s="45" customFormat="1" x14ac:dyDescent="0.25"/>
    <row r="319" s="45" customFormat="1" x14ac:dyDescent="0.25"/>
    <row r="320" s="45" customFormat="1" x14ac:dyDescent="0.25"/>
    <row r="321" s="45" customFormat="1" x14ac:dyDescent="0.25"/>
    <row r="322" s="45" customFormat="1" x14ac:dyDescent="0.25"/>
    <row r="323" s="45" customFormat="1" x14ac:dyDescent="0.25"/>
    <row r="324" s="45" customFormat="1" x14ac:dyDescent="0.25"/>
    <row r="325" s="45" customFormat="1" x14ac:dyDescent="0.25"/>
    <row r="326" s="45" customFormat="1" x14ac:dyDescent="0.25"/>
    <row r="327" s="45" customFormat="1" x14ac:dyDescent="0.25"/>
    <row r="328" s="45" customFormat="1" x14ac:dyDescent="0.25"/>
    <row r="329" s="45" customFormat="1" x14ac:dyDescent="0.25"/>
    <row r="330" s="45" customFormat="1" x14ac:dyDescent="0.25"/>
    <row r="331" s="45" customFormat="1" x14ac:dyDescent="0.25"/>
    <row r="332" s="45" customFormat="1" x14ac:dyDescent="0.25"/>
    <row r="333" s="45" customFormat="1" x14ac:dyDescent="0.25"/>
    <row r="334" s="45" customFormat="1" x14ac:dyDescent="0.25"/>
    <row r="335" s="45" customFormat="1" x14ac:dyDescent="0.25"/>
    <row r="336" s="45" customFormat="1" x14ac:dyDescent="0.25"/>
    <row r="337" s="45" customFormat="1" x14ac:dyDescent="0.25"/>
    <row r="338" s="45" customFormat="1" x14ac:dyDescent="0.25"/>
    <row r="339" s="45" customFormat="1" x14ac:dyDescent="0.25"/>
    <row r="340" s="45" customFormat="1" x14ac:dyDescent="0.25"/>
    <row r="341" s="45" customFormat="1" x14ac:dyDescent="0.25"/>
    <row r="342" s="45" customFormat="1" x14ac:dyDescent="0.25"/>
    <row r="343" s="45" customFormat="1" x14ac:dyDescent="0.25"/>
    <row r="344" s="45" customFormat="1" x14ac:dyDescent="0.25"/>
    <row r="345" s="45" customFormat="1" x14ac:dyDescent="0.25"/>
    <row r="346" s="45" customFormat="1" x14ac:dyDescent="0.25"/>
    <row r="347" s="45" customFormat="1" x14ac:dyDescent="0.25"/>
    <row r="348" s="45" customFormat="1" x14ac:dyDescent="0.25"/>
    <row r="349" s="45" customFormat="1" x14ac:dyDescent="0.25"/>
    <row r="350" s="45" customFormat="1" x14ac:dyDescent="0.25"/>
    <row r="351" s="45" customFormat="1" x14ac:dyDescent="0.25"/>
    <row r="352" s="45" customFormat="1" x14ac:dyDescent="0.25"/>
    <row r="353" s="45" customFormat="1" x14ac:dyDescent="0.25"/>
    <row r="354" s="45" customFormat="1" x14ac:dyDescent="0.25"/>
    <row r="355" s="45" customFormat="1" x14ac:dyDescent="0.25"/>
    <row r="356" s="45" customFormat="1" x14ac:dyDescent="0.25"/>
    <row r="357" s="45" customFormat="1" x14ac:dyDescent="0.25"/>
    <row r="358" s="45" customFormat="1" x14ac:dyDescent="0.25"/>
    <row r="359" s="45" customFormat="1" x14ac:dyDescent="0.25"/>
    <row r="360" s="45" customFormat="1" x14ac:dyDescent="0.25"/>
    <row r="361" s="45" customFormat="1" x14ac:dyDescent="0.25"/>
    <row r="362" s="45" customFormat="1" x14ac:dyDescent="0.25"/>
    <row r="363" s="45" customFormat="1" x14ac:dyDescent="0.25"/>
    <row r="364" s="45" customFormat="1" x14ac:dyDescent="0.25"/>
    <row r="365" s="45" customFormat="1" x14ac:dyDescent="0.25"/>
    <row r="366" s="45" customFormat="1" x14ac:dyDescent="0.25"/>
    <row r="367" s="45" customFormat="1" x14ac:dyDescent="0.25"/>
    <row r="368" s="45" customFormat="1" x14ac:dyDescent="0.25"/>
    <row r="369" s="45" customFormat="1" x14ac:dyDescent="0.25"/>
    <row r="370" s="45" customFormat="1" x14ac:dyDescent="0.25"/>
    <row r="371" s="45" customFormat="1" x14ac:dyDescent="0.25"/>
    <row r="372" s="45" customFormat="1" x14ac:dyDescent="0.25"/>
    <row r="373" s="45" customFormat="1" x14ac:dyDescent="0.25"/>
    <row r="374" s="45" customFormat="1" x14ac:dyDescent="0.25"/>
    <row r="375" s="45" customFormat="1" x14ac:dyDescent="0.25"/>
    <row r="376" s="45" customFormat="1" x14ac:dyDescent="0.25"/>
    <row r="377" s="45" customFormat="1" x14ac:dyDescent="0.25"/>
    <row r="378" s="45" customFormat="1" x14ac:dyDescent="0.25"/>
    <row r="379" s="45" customFormat="1" x14ac:dyDescent="0.25"/>
    <row r="380" s="45" customFormat="1" x14ac:dyDescent="0.25"/>
    <row r="381" s="45" customFormat="1" x14ac:dyDescent="0.25"/>
    <row r="382" s="45" customFormat="1" x14ac:dyDescent="0.25"/>
    <row r="383" s="45" customFormat="1" x14ac:dyDescent="0.25"/>
    <row r="384" s="45" customFormat="1" x14ac:dyDescent="0.25"/>
    <row r="385" s="45" customFormat="1" x14ac:dyDescent="0.25"/>
    <row r="386" s="45" customFormat="1" x14ac:dyDescent="0.25"/>
    <row r="387" s="45" customFormat="1" x14ac:dyDescent="0.25"/>
    <row r="388" s="45" customFormat="1" x14ac:dyDescent="0.25"/>
    <row r="389" s="45" customFormat="1" x14ac:dyDescent="0.25"/>
    <row r="390" s="45" customFormat="1" x14ac:dyDescent="0.25"/>
    <row r="391" s="45" customFormat="1" x14ac:dyDescent="0.25"/>
    <row r="392" s="45" customFormat="1" x14ac:dyDescent="0.25"/>
    <row r="393" s="45" customFormat="1" x14ac:dyDescent="0.25"/>
    <row r="394" s="45" customFormat="1" x14ac:dyDescent="0.25"/>
    <row r="395" s="45" customFormat="1" x14ac:dyDescent="0.25"/>
    <row r="396" s="45" customFormat="1" x14ac:dyDescent="0.25"/>
    <row r="397" s="45" customFormat="1" x14ac:dyDescent="0.25"/>
    <row r="398" s="45" customFormat="1" x14ac:dyDescent="0.25"/>
    <row r="399" s="45" customFormat="1" x14ac:dyDescent="0.25"/>
    <row r="400" s="45" customFormat="1" x14ac:dyDescent="0.25"/>
    <row r="401" s="45" customFormat="1" x14ac:dyDescent="0.25"/>
    <row r="402" s="45" customFormat="1" x14ac:dyDescent="0.25"/>
    <row r="403" s="45" customFormat="1" x14ac:dyDescent="0.25"/>
    <row r="404" s="45" customFormat="1" x14ac:dyDescent="0.25"/>
    <row r="405" s="45" customFormat="1" x14ac:dyDescent="0.25"/>
    <row r="406" s="45" customFormat="1" x14ac:dyDescent="0.25"/>
    <row r="407" s="45" customFormat="1" x14ac:dyDescent="0.25"/>
    <row r="408" s="45" customFormat="1" x14ac:dyDescent="0.25"/>
    <row r="409" s="45" customFormat="1" x14ac:dyDescent="0.25"/>
    <row r="410" s="45" customFormat="1" x14ac:dyDescent="0.25"/>
    <row r="411" s="45" customFormat="1" x14ac:dyDescent="0.25"/>
    <row r="412" s="45" customFormat="1" x14ac:dyDescent="0.25"/>
    <row r="413" s="45" customFormat="1" x14ac:dyDescent="0.25"/>
    <row r="414" s="45" customFormat="1" x14ac:dyDescent="0.25"/>
    <row r="415" s="45" customFormat="1" x14ac:dyDescent="0.25"/>
    <row r="416" s="45" customFormat="1" x14ac:dyDescent="0.25"/>
    <row r="417" s="45" customFormat="1" x14ac:dyDescent="0.25"/>
    <row r="418" s="45" customFormat="1" x14ac:dyDescent="0.25"/>
    <row r="419" s="45" customFormat="1" x14ac:dyDescent="0.25"/>
    <row r="420" s="45" customFormat="1" x14ac:dyDescent="0.25"/>
    <row r="421" s="45" customFormat="1" x14ac:dyDescent="0.25"/>
    <row r="422" s="45" customFormat="1" x14ac:dyDescent="0.25"/>
    <row r="423" s="45" customFormat="1" x14ac:dyDescent="0.25"/>
    <row r="424" s="45" customFormat="1" x14ac:dyDescent="0.25"/>
    <row r="425" s="45" customFormat="1" x14ac:dyDescent="0.25"/>
    <row r="426" s="45" customFormat="1" x14ac:dyDescent="0.25"/>
    <row r="427" s="45" customFormat="1" x14ac:dyDescent="0.25"/>
    <row r="428" s="45" customFormat="1" x14ac:dyDescent="0.25"/>
    <row r="429" s="45" customFormat="1" x14ac:dyDescent="0.25"/>
    <row r="430" s="45" customFormat="1" x14ac:dyDescent="0.25"/>
    <row r="431" s="45" customFormat="1" x14ac:dyDescent="0.25"/>
    <row r="432" s="45" customFormat="1" x14ac:dyDescent="0.25"/>
    <row r="433" s="45" customFormat="1" x14ac:dyDescent="0.25"/>
    <row r="434" s="45" customFormat="1" x14ac:dyDescent="0.25"/>
    <row r="435" s="45" customFormat="1" x14ac:dyDescent="0.25"/>
    <row r="436" s="45" customFormat="1" x14ac:dyDescent="0.25"/>
    <row r="437" s="45" customFormat="1" x14ac:dyDescent="0.25"/>
    <row r="438" s="45" customFormat="1" x14ac:dyDescent="0.25"/>
    <row r="439" s="45" customFormat="1" x14ac:dyDescent="0.25"/>
    <row r="440" s="45" customFormat="1" x14ac:dyDescent="0.25"/>
    <row r="441" s="45" customFormat="1" x14ac:dyDescent="0.25"/>
    <row r="442" s="45" customFormat="1" x14ac:dyDescent="0.25"/>
    <row r="443" s="45" customFormat="1" x14ac:dyDescent="0.25"/>
    <row r="444" s="45" customFormat="1" x14ac:dyDescent="0.25"/>
    <row r="445" s="45" customFormat="1" x14ac:dyDescent="0.25"/>
    <row r="446" s="45" customFormat="1" x14ac:dyDescent="0.25"/>
    <row r="447" s="45" customFormat="1" x14ac:dyDescent="0.25"/>
    <row r="448" s="45" customFormat="1" x14ac:dyDescent="0.25"/>
    <row r="449" s="45" customFormat="1" x14ac:dyDescent="0.25"/>
    <row r="450" s="45" customFormat="1" x14ac:dyDescent="0.25"/>
    <row r="451" s="45" customFormat="1" x14ac:dyDescent="0.25"/>
    <row r="452" s="45" customFormat="1" x14ac:dyDescent="0.25"/>
    <row r="453" s="45" customFormat="1" x14ac:dyDescent="0.25"/>
    <row r="454" s="45" customFormat="1" x14ac:dyDescent="0.25"/>
    <row r="455" s="45" customFormat="1" x14ac:dyDescent="0.25"/>
    <row r="456" s="45" customFormat="1" x14ac:dyDescent="0.25"/>
    <row r="457" s="45" customFormat="1" x14ac:dyDescent="0.25"/>
    <row r="458" s="45" customFormat="1" x14ac:dyDescent="0.25"/>
    <row r="459" s="45" customFormat="1" x14ac:dyDescent="0.25"/>
    <row r="460" s="45" customFormat="1" x14ac:dyDescent="0.25"/>
    <row r="461" s="45" customFormat="1" x14ac:dyDescent="0.25"/>
    <row r="462" s="45" customFormat="1" x14ac:dyDescent="0.25"/>
    <row r="463" s="45" customFormat="1" x14ac:dyDescent="0.25"/>
    <row r="464" s="45" customFormat="1" x14ac:dyDescent="0.25"/>
    <row r="465" spans="4:5" s="45" customFormat="1" x14ac:dyDescent="0.25"/>
    <row r="466" spans="4:5" s="45" customFormat="1" x14ac:dyDescent="0.25"/>
    <row r="467" spans="4:5" s="45" customFormat="1" x14ac:dyDescent="0.25"/>
    <row r="468" spans="4:5" s="45" customFormat="1" x14ac:dyDescent="0.25"/>
    <row r="469" spans="4:5" s="45" customFormat="1" x14ac:dyDescent="0.25"/>
    <row r="470" spans="4:5" s="45" customFormat="1" x14ac:dyDescent="0.25"/>
    <row r="471" spans="4:5" s="45" customFormat="1" x14ac:dyDescent="0.25"/>
    <row r="472" spans="4:5" s="45" customFormat="1" x14ac:dyDescent="0.25"/>
    <row r="473" spans="4:5" s="45" customFormat="1" x14ac:dyDescent="0.25"/>
    <row r="474" spans="4:5" s="45" customFormat="1" x14ac:dyDescent="0.25"/>
    <row r="475" spans="4:5" s="45" customFormat="1" x14ac:dyDescent="0.25"/>
    <row r="476" spans="4:5" s="45" customFormat="1" x14ac:dyDescent="0.25"/>
    <row r="477" spans="4:5" s="45" customFormat="1" x14ac:dyDescent="0.25"/>
    <row r="478" spans="4:5" s="45" customFormat="1" x14ac:dyDescent="0.25"/>
    <row r="479" spans="4:5" s="45" customFormat="1" x14ac:dyDescent="0.25"/>
    <row r="480" spans="4:5" x14ac:dyDescent="0.25">
      <c r="D480" s="45"/>
      <c r="E480" s="45"/>
    </row>
    <row r="481" spans="4:5" x14ac:dyDescent="0.25">
      <c r="D481" s="45"/>
      <c r="E481" s="45"/>
    </row>
    <row r="482" spans="4:5" x14ac:dyDescent="0.25">
      <c r="D482" s="45"/>
      <c r="E482" s="45"/>
    </row>
    <row r="483" spans="4:5" x14ac:dyDescent="0.25">
      <c r="D483" s="45"/>
      <c r="E483" s="45"/>
    </row>
    <row r="484" spans="4:5" x14ac:dyDescent="0.25">
      <c r="D484" s="45"/>
      <c r="E484" s="45"/>
    </row>
    <row r="485" spans="4:5" x14ac:dyDescent="0.25">
      <c r="D485" s="45"/>
      <c r="E485" s="45"/>
    </row>
    <row r="486" spans="4:5" x14ac:dyDescent="0.25">
      <c r="D486" s="45"/>
      <c r="E486" s="45"/>
    </row>
    <row r="487" spans="4:5" x14ac:dyDescent="0.25">
      <c r="D487" s="45"/>
      <c r="E487" s="45"/>
    </row>
    <row r="488" spans="4:5" x14ac:dyDescent="0.25">
      <c r="D488" s="45"/>
      <c r="E488" s="45"/>
    </row>
    <row r="489" spans="4:5" x14ac:dyDescent="0.25">
      <c r="D489" s="45"/>
      <c r="E489" s="45"/>
    </row>
    <row r="490" spans="4:5" x14ac:dyDescent="0.25">
      <c r="D490" s="45"/>
      <c r="E490" s="45"/>
    </row>
    <row r="491" spans="4:5" x14ac:dyDescent="0.25">
      <c r="D491" s="45"/>
      <c r="E491" s="45"/>
    </row>
    <row r="492" spans="4:5" x14ac:dyDescent="0.25">
      <c r="D492" s="45"/>
      <c r="E492" s="45"/>
    </row>
    <row r="493" spans="4:5" x14ac:dyDescent="0.25">
      <c r="D493" s="45"/>
      <c r="E493" s="45"/>
    </row>
    <row r="494" spans="4:5" x14ac:dyDescent="0.25">
      <c r="D494" s="45"/>
      <c r="E494" s="45"/>
    </row>
    <row r="495" spans="4:5" x14ac:dyDescent="0.25">
      <c r="D495" s="45"/>
      <c r="E495" s="45"/>
    </row>
    <row r="496" spans="4:5" x14ac:dyDescent="0.25">
      <c r="D496" s="45"/>
      <c r="E496" s="45"/>
    </row>
    <row r="497" spans="4:5" x14ac:dyDescent="0.25">
      <c r="D497" s="45"/>
      <c r="E497" s="45"/>
    </row>
    <row r="498" spans="4:5" x14ac:dyDescent="0.25">
      <c r="D498" s="45"/>
      <c r="E498" s="45"/>
    </row>
    <row r="499" spans="4:5" x14ac:dyDescent="0.25">
      <c r="D499" s="45"/>
      <c r="E499" s="45"/>
    </row>
    <row r="500" spans="4:5" x14ac:dyDescent="0.25">
      <c r="D500" s="45"/>
      <c r="E500" s="45"/>
    </row>
    <row r="501" spans="4:5" x14ac:dyDescent="0.25">
      <c r="D501" s="45"/>
      <c r="E501" s="45"/>
    </row>
    <row r="502" spans="4:5" x14ac:dyDescent="0.25">
      <c r="D502" s="45"/>
      <c r="E502" s="45"/>
    </row>
    <row r="503" spans="4:5" x14ac:dyDescent="0.25">
      <c r="D503" s="45"/>
      <c r="E503" s="45"/>
    </row>
    <row r="504" spans="4:5" x14ac:dyDescent="0.25">
      <c r="D504" s="45"/>
      <c r="E504" s="45"/>
    </row>
    <row r="505" spans="4:5" x14ac:dyDescent="0.25">
      <c r="D505" s="45"/>
      <c r="E505" s="45"/>
    </row>
    <row r="506" spans="4:5" x14ac:dyDescent="0.25">
      <c r="D506" s="45"/>
      <c r="E506" s="45"/>
    </row>
    <row r="507" spans="4:5" x14ac:dyDescent="0.25">
      <c r="D507" s="45"/>
      <c r="E507" s="45"/>
    </row>
    <row r="508" spans="4:5" x14ac:dyDescent="0.25">
      <c r="D508" s="45"/>
      <c r="E508" s="45"/>
    </row>
    <row r="509" spans="4:5" x14ac:dyDescent="0.25">
      <c r="D509" s="45"/>
      <c r="E509" s="45"/>
    </row>
    <row r="510" spans="4:5" x14ac:dyDescent="0.25">
      <c r="D510" s="45"/>
      <c r="E510" s="45"/>
    </row>
    <row r="511" spans="4:5" x14ac:dyDescent="0.25">
      <c r="D511" s="45"/>
      <c r="E511" s="45"/>
    </row>
    <row r="512" spans="4:5" x14ac:dyDescent="0.25">
      <c r="D512" s="45"/>
      <c r="E512" s="45"/>
    </row>
    <row r="513" spans="4:5" x14ac:dyDescent="0.25">
      <c r="D513" s="45"/>
      <c r="E513" s="45"/>
    </row>
    <row r="514" spans="4:5" x14ac:dyDescent="0.25">
      <c r="D514" s="45"/>
      <c r="E514" s="45"/>
    </row>
    <row r="515" spans="4:5" x14ac:dyDescent="0.25">
      <c r="D515" s="45"/>
      <c r="E515" s="45"/>
    </row>
    <row r="516" spans="4:5" x14ac:dyDescent="0.25">
      <c r="D516" s="45"/>
      <c r="E516" s="45"/>
    </row>
    <row r="517" spans="4:5" x14ac:dyDescent="0.25">
      <c r="D517" s="45"/>
      <c r="E517" s="45"/>
    </row>
    <row r="518" spans="4:5" x14ac:dyDescent="0.25">
      <c r="D518" s="45"/>
      <c r="E518" s="45"/>
    </row>
    <row r="519" spans="4:5" x14ac:dyDescent="0.25">
      <c r="D519" s="45"/>
      <c r="E519" s="45"/>
    </row>
    <row r="520" spans="4:5" x14ac:dyDescent="0.25">
      <c r="D520" s="45"/>
      <c r="E520" s="45"/>
    </row>
    <row r="521" spans="4:5" x14ac:dyDescent="0.25">
      <c r="D521" s="45"/>
      <c r="E521" s="45"/>
    </row>
    <row r="522" spans="4:5" x14ac:dyDescent="0.25">
      <c r="D522" s="45"/>
      <c r="E522" s="45"/>
    </row>
    <row r="523" spans="4:5" x14ac:dyDescent="0.25">
      <c r="D523" s="45"/>
      <c r="E523" s="45"/>
    </row>
    <row r="524" spans="4:5" x14ac:dyDescent="0.25">
      <c r="D524" s="45"/>
      <c r="E524" s="45"/>
    </row>
    <row r="525" spans="4:5" x14ac:dyDescent="0.25">
      <c r="D525" s="45"/>
      <c r="E525" s="45"/>
    </row>
    <row r="526" spans="4:5" x14ac:dyDescent="0.25">
      <c r="D526" s="45"/>
      <c r="E526" s="45"/>
    </row>
    <row r="527" spans="4:5" x14ac:dyDescent="0.25">
      <c r="D527" s="45"/>
      <c r="E527" s="45"/>
    </row>
    <row r="528" spans="4:5" x14ac:dyDescent="0.25">
      <c r="D528" s="45"/>
      <c r="E528" s="45"/>
    </row>
    <row r="529" spans="4:5" x14ac:dyDescent="0.25">
      <c r="D529" s="45"/>
      <c r="E529" s="45"/>
    </row>
    <row r="530" spans="4:5" x14ac:dyDescent="0.25">
      <c r="D530" s="45"/>
      <c r="E530" s="45"/>
    </row>
    <row r="531" spans="4:5" x14ac:dyDescent="0.25">
      <c r="D531" s="45"/>
      <c r="E531" s="45"/>
    </row>
    <row r="532" spans="4:5" x14ac:dyDescent="0.25">
      <c r="D532" s="45"/>
      <c r="E532" s="45"/>
    </row>
    <row r="533" spans="4:5" x14ac:dyDescent="0.25">
      <c r="D533" s="45"/>
      <c r="E533" s="45"/>
    </row>
    <row r="534" spans="4:5" x14ac:dyDescent="0.25">
      <c r="D534" s="45"/>
      <c r="E534" s="45"/>
    </row>
    <row r="535" spans="4:5" x14ac:dyDescent="0.25">
      <c r="D535" s="45"/>
      <c r="E535" s="45"/>
    </row>
    <row r="536" spans="4:5" x14ac:dyDescent="0.25">
      <c r="D536" s="45"/>
      <c r="E536" s="45"/>
    </row>
    <row r="537" spans="4:5" x14ac:dyDescent="0.25">
      <c r="D537" s="45"/>
      <c r="E537" s="45"/>
    </row>
    <row r="538" spans="4:5" x14ac:dyDescent="0.25">
      <c r="D538" s="45"/>
      <c r="E538" s="45"/>
    </row>
    <row r="539" spans="4:5" x14ac:dyDescent="0.25">
      <c r="D539" s="45"/>
      <c r="E539" s="45"/>
    </row>
    <row r="540" spans="4:5" x14ac:dyDescent="0.25">
      <c r="D540" s="45"/>
      <c r="E540" s="45"/>
    </row>
    <row r="541" spans="4:5" x14ac:dyDescent="0.25">
      <c r="D541" s="45"/>
      <c r="E541" s="45"/>
    </row>
    <row r="542" spans="4:5" x14ac:dyDescent="0.25">
      <c r="D542" s="45"/>
      <c r="E542" s="45"/>
    </row>
    <row r="543" spans="4:5" x14ac:dyDescent="0.25">
      <c r="D543" s="45"/>
      <c r="E543" s="45"/>
    </row>
    <row r="544" spans="4:5" x14ac:dyDescent="0.25">
      <c r="D544" s="45"/>
      <c r="E544" s="45"/>
    </row>
    <row r="545" spans="4:5" x14ac:dyDescent="0.25">
      <c r="D545" s="45"/>
      <c r="E545" s="45"/>
    </row>
    <row r="546" spans="4:5" x14ac:dyDescent="0.25">
      <c r="D546" s="45"/>
      <c r="E546" s="45"/>
    </row>
    <row r="547" spans="4:5" x14ac:dyDescent="0.25">
      <c r="D547" s="45"/>
      <c r="E547" s="45"/>
    </row>
    <row r="548" spans="4:5" x14ac:dyDescent="0.25">
      <c r="D548" s="45"/>
      <c r="E548" s="45"/>
    </row>
    <row r="549" spans="4:5" x14ac:dyDescent="0.25">
      <c r="D549" s="45"/>
      <c r="E549" s="45"/>
    </row>
    <row r="550" spans="4:5" x14ac:dyDescent="0.25">
      <c r="D550" s="45"/>
      <c r="E550" s="45"/>
    </row>
    <row r="551" spans="4:5" x14ac:dyDescent="0.25">
      <c r="D551" s="45"/>
      <c r="E551" s="45"/>
    </row>
    <row r="552" spans="4:5" x14ac:dyDescent="0.25">
      <c r="D552" s="45"/>
      <c r="E552" s="45"/>
    </row>
    <row r="553" spans="4:5" x14ac:dyDescent="0.25">
      <c r="D553" s="45"/>
      <c r="E553" s="45"/>
    </row>
    <row r="554" spans="4:5" x14ac:dyDescent="0.25">
      <c r="D554" s="45"/>
      <c r="E554" s="45"/>
    </row>
    <row r="555" spans="4:5" x14ac:dyDescent="0.25">
      <c r="D555" s="45"/>
      <c r="E555" s="45"/>
    </row>
    <row r="556" spans="4:5" x14ac:dyDescent="0.25">
      <c r="D556" s="45"/>
      <c r="E556" s="45"/>
    </row>
    <row r="557" spans="4:5" x14ac:dyDescent="0.25">
      <c r="D557" s="45"/>
      <c r="E557" s="45"/>
    </row>
    <row r="558" spans="4:5" x14ac:dyDescent="0.25">
      <c r="D558" s="45"/>
      <c r="E558" s="45"/>
    </row>
    <row r="559" spans="4:5" x14ac:dyDescent="0.25">
      <c r="D559" s="45"/>
      <c r="E559" s="45"/>
    </row>
    <row r="560" spans="4:5" x14ac:dyDescent="0.25">
      <c r="D560" s="45"/>
      <c r="E560" s="45"/>
    </row>
    <row r="561" spans="4:5" x14ac:dyDescent="0.25">
      <c r="D561" s="45"/>
      <c r="E561" s="45"/>
    </row>
    <row r="562" spans="4:5" x14ac:dyDescent="0.25">
      <c r="D562" s="45"/>
      <c r="E562" s="45"/>
    </row>
    <row r="563" spans="4:5" x14ac:dyDescent="0.25">
      <c r="D563" s="45"/>
      <c r="E563" s="45"/>
    </row>
    <row r="564" spans="4:5" x14ac:dyDescent="0.25">
      <c r="D564" s="45"/>
      <c r="E564" s="45"/>
    </row>
    <row r="565" spans="4:5" x14ac:dyDescent="0.25">
      <c r="D565" s="45"/>
      <c r="E565" s="45"/>
    </row>
    <row r="566" spans="4:5" x14ac:dyDescent="0.25">
      <c r="D566" s="45"/>
      <c r="E566" s="45"/>
    </row>
    <row r="567" spans="4:5" x14ac:dyDescent="0.25">
      <c r="D567" s="45"/>
      <c r="E567" s="45"/>
    </row>
    <row r="568" spans="4:5" x14ac:dyDescent="0.25">
      <c r="D568" s="45"/>
      <c r="E568" s="45"/>
    </row>
    <row r="569" spans="4:5" x14ac:dyDescent="0.25">
      <c r="D569" s="45"/>
      <c r="E569" s="45"/>
    </row>
    <row r="570" spans="4:5" x14ac:dyDescent="0.25">
      <c r="D570" s="45"/>
      <c r="E570" s="45"/>
    </row>
    <row r="571" spans="4:5" x14ac:dyDescent="0.25">
      <c r="D571" s="45"/>
      <c r="E571" s="45"/>
    </row>
    <row r="572" spans="4:5" x14ac:dyDescent="0.25">
      <c r="D572" s="45"/>
      <c r="E572" s="45"/>
    </row>
    <row r="573" spans="4:5" x14ac:dyDescent="0.25">
      <c r="D573" s="45"/>
      <c r="E573" s="45"/>
    </row>
    <row r="574" spans="4:5" x14ac:dyDescent="0.25">
      <c r="D574" s="45"/>
      <c r="E574" s="45"/>
    </row>
    <row r="575" spans="4:5" x14ac:dyDescent="0.25">
      <c r="D575" s="45"/>
      <c r="E575" s="45"/>
    </row>
    <row r="576" spans="4:5" x14ac:dyDescent="0.25">
      <c r="D576" s="45"/>
      <c r="E576" s="45"/>
    </row>
    <row r="577" spans="4:5" x14ac:dyDescent="0.25">
      <c r="D577" s="45"/>
      <c r="E577" s="45"/>
    </row>
    <row r="578" spans="4:5" x14ac:dyDescent="0.25">
      <c r="D578" s="45"/>
      <c r="E578" s="45"/>
    </row>
    <row r="579" spans="4:5" x14ac:dyDescent="0.25">
      <c r="D579" s="45"/>
      <c r="E579" s="45"/>
    </row>
    <row r="580" spans="4:5" x14ac:dyDescent="0.25">
      <c r="D580" s="45"/>
      <c r="E580" s="45"/>
    </row>
    <row r="581" spans="4:5" x14ac:dyDescent="0.25">
      <c r="D581" s="45"/>
      <c r="E581" s="45"/>
    </row>
    <row r="582" spans="4:5" x14ac:dyDescent="0.25">
      <c r="D582" s="45"/>
      <c r="E582" s="45"/>
    </row>
    <row r="583" spans="4:5" x14ac:dyDescent="0.25">
      <c r="D583" s="45"/>
      <c r="E583" s="45"/>
    </row>
    <row r="584" spans="4:5" x14ac:dyDescent="0.25">
      <c r="D584" s="45"/>
      <c r="E584" s="45"/>
    </row>
    <row r="585" spans="4:5" x14ac:dyDescent="0.25">
      <c r="D585" s="45"/>
      <c r="E585" s="45"/>
    </row>
    <row r="586" spans="4:5" x14ac:dyDescent="0.25">
      <c r="D586" s="45"/>
      <c r="E586" s="45"/>
    </row>
    <row r="587" spans="4:5" x14ac:dyDescent="0.25">
      <c r="D587" s="45"/>
      <c r="E587" s="45"/>
    </row>
    <row r="588" spans="4:5" x14ac:dyDescent="0.25">
      <c r="D588" s="45"/>
      <c r="E588" s="45"/>
    </row>
    <row r="589" spans="4:5" x14ac:dyDescent="0.25">
      <c r="D589" s="45"/>
      <c r="E589" s="45"/>
    </row>
    <row r="590" spans="4:5" x14ac:dyDescent="0.25">
      <c r="D590" s="45"/>
      <c r="E590" s="45"/>
    </row>
    <row r="591" spans="4:5" x14ac:dyDescent="0.25">
      <c r="D591" s="45"/>
      <c r="E591" s="45"/>
    </row>
    <row r="592" spans="4:5" x14ac:dyDescent="0.25">
      <c r="D592" s="45"/>
      <c r="E592" s="45"/>
    </row>
    <row r="593" spans="4:5" x14ac:dyDescent="0.25">
      <c r="D593" s="45"/>
      <c r="E593" s="45"/>
    </row>
    <row r="594" spans="4:5" x14ac:dyDescent="0.25">
      <c r="D594" s="45"/>
      <c r="E594" s="45"/>
    </row>
    <row r="595" spans="4:5" x14ac:dyDescent="0.25">
      <c r="D595" s="45"/>
      <c r="E595" s="45"/>
    </row>
    <row r="596" spans="4:5" x14ac:dyDescent="0.25">
      <c r="D596" s="45"/>
      <c r="E596" s="45"/>
    </row>
    <row r="597" spans="4:5" x14ac:dyDescent="0.25">
      <c r="D597" s="45"/>
      <c r="E597" s="45"/>
    </row>
    <row r="598" spans="4:5" x14ac:dyDescent="0.25">
      <c r="D598" s="45"/>
      <c r="E598" s="45"/>
    </row>
    <row r="599" spans="4:5" x14ac:dyDescent="0.25">
      <c r="D599" s="45"/>
      <c r="E599" s="45"/>
    </row>
    <row r="600" spans="4:5" x14ac:dyDescent="0.25">
      <c r="D600" s="45"/>
      <c r="E600" s="45"/>
    </row>
    <row r="601" spans="4:5" x14ac:dyDescent="0.25">
      <c r="D601" s="45"/>
      <c r="E601" s="45"/>
    </row>
    <row r="602" spans="4:5" x14ac:dyDescent="0.25">
      <c r="D602" s="45"/>
      <c r="E602" s="45"/>
    </row>
    <row r="603" spans="4:5" x14ac:dyDescent="0.25">
      <c r="D603" s="45"/>
      <c r="E603" s="45"/>
    </row>
    <row r="604" spans="4:5" x14ac:dyDescent="0.25">
      <c r="D604" s="45"/>
      <c r="E604" s="45"/>
    </row>
    <row r="605" spans="4:5" x14ac:dyDescent="0.25">
      <c r="D605" s="45"/>
      <c r="E605" s="45"/>
    </row>
    <row r="606" spans="4:5" x14ac:dyDescent="0.25">
      <c r="D606" s="45"/>
      <c r="E606" s="45"/>
    </row>
    <row r="607" spans="4:5" x14ac:dyDescent="0.25">
      <c r="D607" s="45"/>
      <c r="E607" s="45"/>
    </row>
    <row r="608" spans="4:5" x14ac:dyDescent="0.25">
      <c r="D608" s="45"/>
      <c r="E608" s="45"/>
    </row>
    <row r="609" spans="4:5" x14ac:dyDescent="0.25">
      <c r="D609" s="45"/>
      <c r="E609" s="45"/>
    </row>
    <row r="610" spans="4:5" x14ac:dyDescent="0.25">
      <c r="D610" s="45"/>
      <c r="E610" s="45"/>
    </row>
    <row r="611" spans="4:5" x14ac:dyDescent="0.25">
      <c r="D611" s="45"/>
      <c r="E611" s="45"/>
    </row>
    <row r="612" spans="4:5" x14ac:dyDescent="0.25">
      <c r="D612" s="45"/>
      <c r="E612" s="45"/>
    </row>
    <row r="613" spans="4:5" x14ac:dyDescent="0.25">
      <c r="D613" s="45"/>
      <c r="E613" s="45"/>
    </row>
    <row r="614" spans="4:5" x14ac:dyDescent="0.25">
      <c r="D614" s="45"/>
      <c r="E614" s="45"/>
    </row>
    <row r="615" spans="4:5" x14ac:dyDescent="0.25">
      <c r="D615" s="45"/>
      <c r="E615" s="45"/>
    </row>
    <row r="616" spans="4:5" x14ac:dyDescent="0.25">
      <c r="D616" s="45"/>
      <c r="E616" s="45"/>
    </row>
    <row r="617" spans="4:5" x14ac:dyDescent="0.25">
      <c r="D617" s="45"/>
      <c r="E617" s="45"/>
    </row>
    <row r="618" spans="4:5" x14ac:dyDescent="0.25">
      <c r="D618" s="45"/>
      <c r="E618" s="45"/>
    </row>
    <row r="619" spans="4:5" x14ac:dyDescent="0.25">
      <c r="D619" s="45"/>
      <c r="E619" s="45"/>
    </row>
    <row r="620" spans="4:5" x14ac:dyDescent="0.25">
      <c r="D620" s="45"/>
      <c r="E620" s="45"/>
    </row>
    <row r="621" spans="4:5" x14ac:dyDescent="0.25">
      <c r="D621" s="45"/>
      <c r="E621" s="45"/>
    </row>
    <row r="622" spans="4:5" x14ac:dyDescent="0.25">
      <c r="D622" s="45"/>
      <c r="E622" s="45"/>
    </row>
    <row r="623" spans="4:5" x14ac:dyDescent="0.25">
      <c r="D623" s="45"/>
      <c r="E623" s="45"/>
    </row>
    <row r="624" spans="4:5" x14ac:dyDescent="0.25">
      <c r="D624" s="45"/>
      <c r="E624" s="45"/>
    </row>
    <row r="625" spans="4:5" x14ac:dyDescent="0.25">
      <c r="D625" s="45"/>
      <c r="E625" s="45"/>
    </row>
    <row r="626" spans="4:5" x14ac:dyDescent="0.25">
      <c r="D626" s="45"/>
      <c r="E626" s="45"/>
    </row>
    <row r="627" spans="4:5" x14ac:dyDescent="0.25">
      <c r="D627" s="45"/>
      <c r="E627" s="45"/>
    </row>
    <row r="628" spans="4:5" x14ac:dyDescent="0.25">
      <c r="D628" s="45"/>
      <c r="E628" s="45"/>
    </row>
    <row r="629" spans="4:5" x14ac:dyDescent="0.25">
      <c r="D629" s="45"/>
      <c r="E629" s="45"/>
    </row>
    <row r="630" spans="4:5" x14ac:dyDescent="0.25">
      <c r="D630" s="45"/>
      <c r="E630" s="45"/>
    </row>
    <row r="631" spans="4:5" x14ac:dyDescent="0.25">
      <c r="D631" s="45"/>
      <c r="E631" s="45"/>
    </row>
    <row r="632" spans="4:5" x14ac:dyDescent="0.25">
      <c r="D632" s="45"/>
      <c r="E632" s="45"/>
    </row>
    <row r="633" spans="4:5" x14ac:dyDescent="0.25">
      <c r="D633" s="45"/>
      <c r="E633" s="45"/>
    </row>
    <row r="634" spans="4:5" x14ac:dyDescent="0.25">
      <c r="D634" s="45"/>
      <c r="E634" s="45"/>
    </row>
    <row r="635" spans="4:5" x14ac:dyDescent="0.25">
      <c r="D635" s="45"/>
      <c r="E635" s="45"/>
    </row>
    <row r="636" spans="4:5" x14ac:dyDescent="0.25">
      <c r="D636" s="45"/>
      <c r="E636" s="45"/>
    </row>
    <row r="637" spans="4:5" x14ac:dyDescent="0.25">
      <c r="D637" s="45"/>
      <c r="E637" s="45"/>
    </row>
    <row r="638" spans="4:5" x14ac:dyDescent="0.25">
      <c r="D638" s="45"/>
      <c r="E638" s="45"/>
    </row>
    <row r="639" spans="4:5" x14ac:dyDescent="0.25">
      <c r="D639" s="45"/>
      <c r="E639" s="45"/>
    </row>
    <row r="640" spans="4:5" x14ac:dyDescent="0.25">
      <c r="D640" s="45"/>
      <c r="E640" s="45"/>
    </row>
    <row r="641" spans="4:5" x14ac:dyDescent="0.25">
      <c r="D641" s="45"/>
      <c r="E641" s="45"/>
    </row>
    <row r="642" spans="4:5" x14ac:dyDescent="0.25">
      <c r="D642" s="45"/>
      <c r="E642" s="45"/>
    </row>
    <row r="643" spans="4:5" x14ac:dyDescent="0.25">
      <c r="D643" s="45"/>
      <c r="E643" s="45"/>
    </row>
    <row r="644" spans="4:5" x14ac:dyDescent="0.25">
      <c r="D644" s="45"/>
      <c r="E644" s="45"/>
    </row>
    <row r="645" spans="4:5" x14ac:dyDescent="0.25">
      <c r="D645" s="45"/>
      <c r="E645" s="45"/>
    </row>
    <row r="646" spans="4:5" x14ac:dyDescent="0.25">
      <c r="D646" s="45"/>
      <c r="E646" s="45"/>
    </row>
    <row r="647" spans="4:5" x14ac:dyDescent="0.25">
      <c r="D647" s="45"/>
      <c r="E647" s="45"/>
    </row>
    <row r="648" spans="4:5" x14ac:dyDescent="0.25">
      <c r="D648" s="45"/>
      <c r="E648" s="45"/>
    </row>
    <row r="649" spans="4:5" x14ac:dyDescent="0.25">
      <c r="D649" s="45"/>
      <c r="E649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Direct Cost</vt:lpstr>
      <vt:lpstr>Admin Cost</vt:lpstr>
      <vt:lpstr>Budget Narrative</vt:lpstr>
      <vt:lpstr>Accounts &amp; Activity</vt:lpstr>
      <vt:lpstr>'Admin Cost'!Print_Titles</vt:lpstr>
      <vt:lpstr>'Direct Cost'!Print_Titles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Bilal Abbassi</cp:lastModifiedBy>
  <cp:revision>0</cp:revision>
  <dcterms:created xsi:type="dcterms:W3CDTF">2026-07-05T07:33:03Z</dcterms:created>
  <dcterms:modified xsi:type="dcterms:W3CDTF">2026-10-04T09:37:31Z</dcterms:modified>
  <dc:language>en-US</dc:language>
</cp:coreProperties>
</file>